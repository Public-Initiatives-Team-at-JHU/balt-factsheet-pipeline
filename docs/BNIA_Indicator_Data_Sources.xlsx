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stin/code/jhu-public-impact-data/docs/"/>
    </mc:Choice>
  </mc:AlternateContent>
  <xr:revisionPtr revIDLastSave="0" documentId="13_ncr:1_{9627A711-3DC3-7949-927E-D67749E9631F}" xr6:coauthVersionLast="47" xr6:coauthVersionMax="47" xr10:uidLastSave="{00000000-0000-0000-0000-000000000000}"/>
  <bookViews>
    <workbookView xWindow="31400" yWindow="600" windowWidth="22700" windowHeight="32680" xr2:uid="{00000000-000D-0000-FFFF-FFFF00000000}"/>
  </bookViews>
  <sheets>
    <sheet name="Indicator Data Sourc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2" i="1"/>
</calcChain>
</file>

<file path=xl/sharedStrings.xml><?xml version="1.0" encoding="utf-8"?>
<sst xmlns="http://schemas.openxmlformats.org/spreadsheetml/2006/main" count="809" uniqueCount="357">
  <si>
    <t>Row #</t>
  </si>
  <si>
    <t>Indicator Name</t>
  </si>
  <si>
    <t>Fact Sheet (B)</t>
  </si>
  <si>
    <t>Topic Area</t>
  </si>
  <si>
    <t>Original Source</t>
  </si>
  <si>
    <t>Census/ACS Table ID</t>
  </si>
  <si>
    <t>Key Variable Codes</t>
  </si>
  <si>
    <t>API Endpoint / Data Source URL</t>
  </si>
  <si>
    <t>Geographic Level Available</t>
  </si>
  <si>
    <t>Crosswalk Needed?</t>
  </si>
  <si>
    <t>API Key Required?</t>
  </si>
  <si>
    <t>Confidence</t>
  </si>
  <si>
    <t>Notes / Caveats</t>
  </si>
  <si>
    <t>Affordability Index - Mortgage</t>
  </si>
  <si>
    <t>y</t>
  </si>
  <si>
    <t>Housing And Community Development</t>
  </si>
  <si>
    <t>U.S. Census Bureau, ACS</t>
  </si>
  <si>
    <t>B25091</t>
  </si>
  <si>
    <t>B25091_001E (total with mortgage), B25091_008E-011E (30%+ categories)</t>
  </si>
  <si>
    <t>https://api.census.gov/data/{year}/acs/acs5?get=B25091_001E,B25091_002E&amp;for=tract:*&amp;in=state:24&amp;in=county:510</t>
  </si>
  <si>
    <t>Census Tract</t>
  </si>
  <si>
    <t>Yes - tract to CSA</t>
  </si>
  <si>
    <t>Optional (higher rate limits)</t>
  </si>
  <si>
    <t>High</t>
  </si>
  <si>
    <t>Table: Mortgage Status by Selected Monthly Owner Costs as % of HH Income. Need to sum 30%+ categories for affordability burden.</t>
  </si>
  <si>
    <t>Affordability Index - Rent</t>
  </si>
  <si>
    <t>B25070</t>
  </si>
  <si>
    <t>B25070_001E (total renters), B25070_007E-010E (30%+ categories)</t>
  </si>
  <si>
    <t>https://api.census.gov/data/{year}/acs/acs5?get=B25070_001E,B25070_007E,B25070_008E,B25070_009E,B25070_010E&amp;for=tract:*&amp;in=state:24&amp;in=county:510</t>
  </si>
  <si>
    <t>Optional</t>
  </si>
  <si>
    <t>Table: Gross Rent as % of HH Income. Sum categories &gt;= 30% for affordability burden rate.</t>
  </si>
  <si>
    <t>Average Household Size</t>
  </si>
  <si>
    <t>Census Demographics</t>
  </si>
  <si>
    <t>B25010</t>
  </si>
  <si>
    <t>B25010_001E (avg HH size total), B25010_002E (owner), B25010_003E (renter)</t>
  </si>
  <si>
    <t>https://api.census.gov/data/{year}/acs/acs5?get=B25010_001E&amp;for=tract:*&amp;in=state:24&amp;in=county:510</t>
  </si>
  <si>
    <t>This is already an average, not a count. For CSA aggregation, need to weight by number of occupied housing units.</t>
  </si>
  <si>
    <t>High School Completion Rate</t>
  </si>
  <si>
    <t>Education And Youth</t>
  </si>
  <si>
    <t>Baltimore City Public Schools</t>
  </si>
  <si>
    <t>N/A - not Census</t>
  </si>
  <si>
    <t>N/A</t>
  </si>
  <si>
    <t>https://reportcard.msde.maryland.gov/Graphs/#/DataDownloads/datadownload/</t>
  </si>
  <si>
    <t>School / District</t>
  </si>
  <si>
    <t>Yes - school to CSA</t>
  </si>
  <si>
    <t>No</t>
  </si>
  <si>
    <t>Medium</t>
  </si>
  <si>
    <t>Maryland Report Card provides graduation/completion data. No API - download only. May need to map schools to CSAs via address geocoding.</t>
  </si>
  <si>
    <t>High School Dropout/Withdrawal Rate</t>
  </si>
  <si>
    <t>Same source as completion rate. Dropout vs withdrawal definitions may vary by year.</t>
  </si>
  <si>
    <t>Infant Mortality Rate</t>
  </si>
  <si>
    <t>Children And Family Health</t>
  </si>
  <si>
    <t>Baltimore City Health Department</t>
  </si>
  <si>
    <t>https://health.baltimorecity.gov/neighborhood-health-profiles</t>
  </si>
  <si>
    <t>CSA (55 areas)</t>
  </si>
  <si>
    <t>No - already at CSA</t>
  </si>
  <si>
    <t>Published in Neighborhood Health Profiles. No API - PDF/web scrape only. Data from MD Vital Statistics Administration. Often 3-5 year lag.</t>
  </si>
  <si>
    <t>Kindergarten Readiness</t>
  </si>
  <si>
    <t>?</t>
  </si>
  <si>
    <t>https://reportcard.msde.maryland.gov/ OR direct BCPS data request</t>
  </si>
  <si>
    <t>Low</t>
  </si>
  <si>
    <t>KRA (Kindergarten Readiness Assessment) data. Availability at school level uncertain. May require direct data request to BCPS or MSDE.</t>
  </si>
  <si>
    <t>Life Expectancy</t>
  </si>
  <si>
    <t>Published in Neighborhood Health Profiles. No API. Data from MD Vital Statistics. 20-year gap between best/worst CSAs in Baltimore.</t>
  </si>
  <si>
    <t>Median Household Income</t>
  </si>
  <si>
    <t>B19013</t>
  </si>
  <si>
    <t>B19013_001E (median HH income estimate)</t>
  </si>
  <si>
    <t>https://api.census.gov/data/{year}/acs/acs5?get=B19013_001E&amp;for=tract:*&amp;in=state:24&amp;in=county:510</t>
  </si>
  <si>
    <t>Inflation-adjusted dollars. For CSA aggregation of medians, typically use weighted median or population-weighted average.</t>
  </si>
  <si>
    <t>Median Price of Homes Sold</t>
  </si>
  <si>
    <t>First American Real Estate Solutions</t>
  </si>
  <si>
    <t>N/A - proprietary</t>
  </si>
  <si>
    <t>No public API. Alt: MD SDAT (sdat.dat.maryland.gov) or FRED (https://api.stlouisfed.org/)</t>
  </si>
  <si>
    <t>Property-level (SDAT) / City (FRED)</t>
  </si>
  <si>
    <t>Yes if using SDAT</t>
  </si>
  <si>
    <t>FRED: Yes (free)</t>
  </si>
  <si>
    <t>BNIA likely uses proprietary data from First American. Public alternatives: MD SDAT (no API, manual), FRED ATNHPIUS24510A (city-wide only). No tract-level public source identified.</t>
  </si>
  <si>
    <t>Number of Children (Aged 0-6) Tested for Elevated Blood Lead</t>
  </si>
  <si>
    <t>MD Dept of Environment, Lead Poisoning Prevention</t>
  </si>
  <si>
    <t>N/A - state agency</t>
  </si>
  <si>
    <t>https://health.maryland.gov/phpa/OEHFP/EH/pages/lead.aspx (data request needed)</t>
  </si>
  <si>
    <t>Varies - likely ZIP or county</t>
  </si>
  <si>
    <t>Likely yes</t>
  </si>
  <si>
    <t>No (data request)</t>
  </si>
  <si>
    <t>Privacy-restricted data. Requires formal data request to MD DOH Lead Poisoning Prevention Program. Reference value changed from 10 to 3.5 µg/dL in 2022. Neighborhood-level data not publicly available.</t>
  </si>
  <si>
    <t>Number of Demolition Permits per 1,000 Residential Properties</t>
  </si>
  <si>
    <t>Baltimore City DHCD</t>
  </si>
  <si>
    <t>N/A - local agency</t>
  </si>
  <si>
    <t>https://data.baltimorecity.gov/datasets/baltimore::housing-permits/api (Socrata SODA API)</t>
  </si>
  <si>
    <t>Address-level (aggregatable)</t>
  </si>
  <si>
    <t>Yes - address to CSA</t>
  </si>
  <si>
    <t>Optional (Socrata)</t>
  </si>
  <si>
    <t>Medium-High</t>
  </si>
  <si>
    <t>Available on Open Baltimore via Socrata API. Filter permit type = DEM for demolition. Need residential property count denominator from another source (tax records or ACS).</t>
  </si>
  <si>
    <t>Number of Gun-Related Homicides per 1,000 Residents</t>
  </si>
  <si>
    <t>Crime and Safety</t>
  </si>
  <si>
    <t>Baltimore City Police Department</t>
  </si>
  <si>
    <t>https://data.baltimorecity.gov/datasets/baltimore::part-1-crime-data/api (Socrata SODA API)</t>
  </si>
  <si>
    <t>Incident-level (lat/lon)</t>
  </si>
  <si>
    <t>Yes - geocode to CSA</t>
  </si>
  <si>
    <t>Part 1 Crime Data on Open Baltimore. Filter: Description contains "HOMICIDE" + weapon = "FIREARM". Weekly updates. Need population denominator from ACS for rate.</t>
  </si>
  <si>
    <t>Number of Homes Sold</t>
  </si>
  <si>
    <t>No public API. Alt: MD SDAT (sdat.dat.maryland.gov) manual search</t>
  </si>
  <si>
    <t>Property-level (SDAT)</t>
  </si>
  <si>
    <t>Same proprietary source issue as Median Price. MD SDAT has transfer records but no API. Could potentially scrape or use FOIA request.</t>
  </si>
  <si>
    <t>Number of Overdose Calls for Service per 1,000 Residents</t>
  </si>
  <si>
    <t>https://data.baltimorecity.gov/ - check 911 Calls for Service dataset</t>
  </si>
  <si>
    <t>Incident-level (if available)</t>
  </si>
  <si>
    <t>Low-Medium</t>
  </si>
  <si>
    <t>Marked "?" in source. May be in 911 Calls for Service on Open Baltimore, filtered by call type. Overdose-specific data may also come from MD OOCC (Opioid Operational Command Center).</t>
  </si>
  <si>
    <t>Number of Shootings per 1,000 Residents</t>
  </si>
  <si>
    <t>Part 1 Crime Data. Filter: Description contains "SHOOTING". Includes non-fatal shootings. Need population denominator.</t>
  </si>
  <si>
    <t>Part 1 Crime Rate per 1,000 Residents</t>
  </si>
  <si>
    <t>All Part 1 crimes (homicide, rape, robbery, aggravated assault, burglary, larceny, auto theft, arson). Weekly updates. Legacy SRS version also available.</t>
  </si>
  <si>
    <t>Percent of 1st-5th Grade Students Chronically Absent</t>
  </si>
  <si>
    <t>Chronic absenteeism data (missing 10%+ of school days). Marked "?". May require direct BCPS data request. MSDE may have some data in Maryland Report Card.</t>
  </si>
  <si>
    <t>Percent of 6th-8th Grade Students Chronically Absent</t>
  </si>
  <si>
    <t>Same as above for middle school grades.</t>
  </si>
  <si>
    <t>Percent of 9th-12th Grade Students Chronically Absent</t>
  </si>
  <si>
    <t>Same as above for high school grades.</t>
  </si>
  <si>
    <t>Percent of Children Living Below the Poverty Line</t>
  </si>
  <si>
    <t>B17001</t>
  </si>
  <si>
    <t>B17001_001E (total), B17001_004E-009E (male children &lt;18 below poverty), B17001_018E-023E (female children)</t>
  </si>
  <si>
    <t>https://api.census.gov/data/{year}/acs/acs5?get=B17001_001E,B17001_004E,B17001_005E,B17001_006E,B17001_007E,B17001_008E,B17001_009E&amp;for=tract:*&amp;in=state:24&amp;in=county:510</t>
  </si>
  <si>
    <t>Poverty Status by Sex by Age. Sum male + female age groups under 18 in below-poverty-level universe. Denominator is total population for whom poverty status is determined.</t>
  </si>
  <si>
    <t>Percent of Employed Pop with Travel Time to Work &gt;45 min</t>
  </si>
  <si>
    <t>Sustainability</t>
  </si>
  <si>
    <t>B08303</t>
  </si>
  <si>
    <t>B08303_001E (total workers), B08303_012E (45-59 min), B08303_013E (60+ min)</t>
  </si>
  <si>
    <t>https://api.census.gov/data/{year}/acs/acs5?get=B08303_001E,B08303_012E,B08303_013E&amp;for=tract:*&amp;in=state:24&amp;in=county:510</t>
  </si>
  <si>
    <t>Travel Time to Work. Sum 45-59 min + 60-89 min + 90+ min categories. Universe: Workers 16+ who did not work from home.</t>
  </si>
  <si>
    <t>Percent of Families Receiving TANF</t>
  </si>
  <si>
    <t>Maryland Dept of Human Resources</t>
  </si>
  <si>
    <t>https://dhs.maryland.gov/business-center/documents/data-and-reports/ (data request likely needed)</t>
  </si>
  <si>
    <t>County / City</t>
  </si>
  <si>
    <t>Likely yes - city to CSA</t>
  </si>
  <si>
    <t>Maryland DHS publishes some data but typically at county/city level. CSA-level TANF data likely requires direct data sharing agreement. No public API.</t>
  </si>
  <si>
    <t>Percent of Family HH Living Below the Poverty Line</t>
  </si>
  <si>
    <t>B17010</t>
  </si>
  <si>
    <t>B17010_001E (total families), B17010_002E (below poverty)</t>
  </si>
  <si>
    <t>https://api.census.gov/data/{year}/acs/acs5?get=B17010_001E,B17010_002E&amp;for=tract:*&amp;in=state:24&amp;in=county:510</t>
  </si>
  <si>
    <t>Poverty Status of Families by Family Type by Presence of Related Children. B17012 is alternative (poverty status by family type).</t>
  </si>
  <si>
    <t>Percent of Households Earning $25,000 to $40,000</t>
  </si>
  <si>
    <t>B19001</t>
  </si>
  <si>
    <t>B19001_001E (total HH), B19001_006E ($25K-$30K), B19001_007E ($30K-$35K), B19001_008E ($35K-$40K)</t>
  </si>
  <si>
    <t>https://api.census.gov/data/{year}/acs/acs5?get=B19001_001E,B19001_006E,B19001_007E,B19001_008E&amp;for=tract:*&amp;in=state:24&amp;in=county:510</t>
  </si>
  <si>
    <t>HH Income Distribution. Sum B19001_006E + _007E + _008E for $25K-$40K bracket. Census brackets dont align exactly - verify BNIA methodology.</t>
  </si>
  <si>
    <t>Percent of Households Earning $40,000 to $60,000</t>
  </si>
  <si>
    <t>B19001_009E ($40K-$45K), B19001_010E ($45K-$50K), B19001_011E ($50K-$60K)</t>
  </si>
  <si>
    <t>https://api.census.gov/data/{year}/acs/acs5?get=B19001_001E,B19001_009E,B19001_010E,B19001_011E&amp;for=tract:*&amp;in=state:24&amp;in=county:510</t>
  </si>
  <si>
    <t>Sum _009E + _010E + _011E for $40K-$60K. Same table as other income brackets.</t>
  </si>
  <si>
    <t>Percent of Households Earning $60,000 to $75,000</t>
  </si>
  <si>
    <t>B19001_012E ($60K-$75K)</t>
  </si>
  <si>
    <t>https://api.census.gov/data/{year}/acs/acs5?get=B19001_001E,B19001_012E&amp;for=tract:*&amp;in=state:24&amp;in=county:510</t>
  </si>
  <si>
    <t>Single variable for this bracket. $60K-$75K maps directly to B19001_012E.</t>
  </si>
  <si>
    <t>Percent of Households Earning Less than $25,000</t>
  </si>
  <si>
    <t>B19001_002E-005E ($0-$10K, $10K-$15K, $15K-$20K, $20K-$25K)</t>
  </si>
  <si>
    <t>https://api.census.gov/data/{year}/acs/acs5?get=B19001_001E,B19001_002E,B19001_003E,B19001_004E,B19001_005E&amp;for=tract:*&amp;in=state:24&amp;in=county:510</t>
  </si>
  <si>
    <t>Sum _002E through _005E for under $25K.</t>
  </si>
  <si>
    <t>Percent of Households Earning More than $75,000</t>
  </si>
  <si>
    <t>B19001_013E-017E ($75K-$100K, $100K-$125K, $125K-$150K, $150K-$200K, $200K+)</t>
  </si>
  <si>
    <t>https://api.census.gov/data/{year}/acs/acs5?get=B19001_001E,B19001_013E,B19001_014E,B19001_015E,B19001_016E,B19001_017E&amp;for=tract:*&amp;in=state:24&amp;in=county:510</t>
  </si>
  <si>
    <t>Sum _013E through _017E for $75K+.</t>
  </si>
  <si>
    <t>Percent of Households with Children Under 18</t>
  </si>
  <si>
    <t>B11005</t>
  </si>
  <si>
    <t>B11005_001E (total HH), B11005_002E (HH with 1+ persons under 18)</t>
  </si>
  <si>
    <t>https://api.census.gov/data/{year}/acs/acs5?get=B11005_001E,B11005_002E&amp;for=tract:*&amp;in=state:24&amp;in=county:510</t>
  </si>
  <si>
    <t>Households by Presence of People Under 18 by Household Type.</t>
  </si>
  <si>
    <t>Percent of Households with No Internet at Home</t>
  </si>
  <si>
    <t>Workforce And Economic Development</t>
  </si>
  <si>
    <t>B28002</t>
  </si>
  <si>
    <t>B28002_001E (total HH), B28002_013E (no internet subscription)</t>
  </si>
  <si>
    <t>https://api.census.gov/data/{year}/acs/acs5?get=B28002_001E,B28002_013E&amp;for=tract:*&amp;in=state:24&amp;in=county:510</t>
  </si>
  <si>
    <t>Presence and Types of Internet Subscriptions. Internet questions added 2013. _013E = "No Internet access" in most recent years.</t>
  </si>
  <si>
    <t>Percent of Households with No Vehicles Available</t>
  </si>
  <si>
    <t>B25044</t>
  </si>
  <si>
    <t>B25044_001E (total), B25044_003E (owner, no vehicle), B25044_010E (renter, no vehicle)</t>
  </si>
  <si>
    <t>https://api.census.gov/data/{year}/acs/acs5?get=B25044_001E,B25044_003E,B25044_010E&amp;for=tract:*&amp;in=state:24&amp;in=county:510</t>
  </si>
  <si>
    <t>Tenure by Vehicles Available. Sum owner + renter no-vehicle categories. Alternative table: B08201 (HH Size by Vehicles Available).</t>
  </si>
  <si>
    <t>Percent of Persons receiving SNAP</t>
  </si>
  <si>
    <t>B22010 (ACS alt)</t>
  </si>
  <si>
    <t>B22010_001E (total HH), B22010_002E (received SNAP)</t>
  </si>
  <si>
    <t>State: https://dhs.maryland.gov/business-center/documents/data-and-reports/ | ACS alt: https://api.census.gov/data/{year}/acs/acs5?get=B22010_001E,B22010_002E&amp;for=tract:*&amp;in=state:24&amp;in=county:510</t>
  </si>
  <si>
    <t>County (state) / Census Tract (ACS)</t>
  </si>
  <si>
    <t>Yes - tract to CSA (ACS)</t>
  </si>
  <si>
    <t>Optional (ACS)</t>
  </si>
  <si>
    <t>BNIA may use state DHS data (more accurate for program enrollment). ACS B22010 is an alternative at tract level. Note: ACS captures self-reported receipt, not admin data.</t>
  </si>
  <si>
    <t>Percent of Population (Over 18) Registered to Vote</t>
  </si>
  <si>
    <t>Baltimore City Board of Elections</t>
  </si>
  <si>
    <t>N/A - elections data</t>
  </si>
  <si>
    <t>https://elections.maryland.gov/voter_registration/stats.html (state) | https://boe.baltimorecity.gov/ (city)</t>
  </si>
  <si>
    <t>Precinct</t>
  </si>
  <si>
    <t>Yes - precinct to CSA</t>
  </si>
  <si>
    <t>Voter registration data available from MD State Board of Elections. Public aggregate stats free. Detailed voter file costs $75+. Need to map precincts to CSAs.</t>
  </si>
  <si>
    <t>Percent of Population 18-24 Years old</t>
  </si>
  <si>
    <t>B01001</t>
  </si>
  <si>
    <t>B01001_007E-010E (male 18-24), B01001_031E-034E (female 18-24)</t>
  </si>
  <si>
    <t>https://api.census.gov/data/{year}/acs/acs5?get=B01001_001E,B01001_007E,B01001_008E,B01001_009E,B01001_010E,B01001_031E,B01001_032E,B01001_033E,B01001_034E&amp;for=tract:*&amp;in=state:24&amp;in=county:510</t>
  </si>
  <si>
    <t>Sex by Age. Sum male + female 18-19, 20, 21, 22-24 categories. 49 total variables in table.</t>
  </si>
  <si>
    <t>Percent of Population 25-64 Years old</t>
  </si>
  <si>
    <t>B01001_011E-019E (male 25-64), B01001_035E-043E (female 25-64)</t>
  </si>
  <si>
    <t>https://api.census.gov/data/{year}/acs/acs5?get=B01001_001E,B01001_011E,B01001_012E,B01001_013E,B01001_014E,B01001_015E,B01001_016E,B01001_017E,B01001_018E,B01001_019E&amp;for=tract:*&amp;in=state:24&amp;in=county:510</t>
  </si>
  <si>
    <t>Sum male 25-29 through 60-64 + female equivalents. Many variable codes needed.</t>
  </si>
  <si>
    <t>Percent of Population 5-17 Years old</t>
  </si>
  <si>
    <t>B01001_004E-006E (male 5-17), B01001_028E-030E (female 5-17)</t>
  </si>
  <si>
    <t>https://api.census.gov/data/{year}/acs/acs5?get=B01001_001E,B01001_004E,B01001_005E,B01001_006E,B01001_028E,B01001_029E,B01001_030E&amp;for=tract:*&amp;in=state:24&amp;in=county:510</t>
  </si>
  <si>
    <t>Sum male 5-9, 10-14, 15-17 + female equivalents.</t>
  </si>
  <si>
    <t>Percent of Population 65 Years and over</t>
  </si>
  <si>
    <t>B01001_020E-025E (male 65+), B01001_044E-049E (female 65+)</t>
  </si>
  <si>
    <t>https://api.census.gov/data/{year}/acs/acs5?get=B01001_001E,B01001_020E,B01001_021E,B01001_022E,B01001_023E,B01001_024E,B01001_025E&amp;for=tract:*&amp;in=state:24&amp;in=county:510</t>
  </si>
  <si>
    <t>Sum male 65-66, 67-69, 70-74, 75-79, 80-84, 85+ and female equivalents.</t>
  </si>
  <si>
    <t>Percent of Population that Drove Alone to Work</t>
  </si>
  <si>
    <t>B08301</t>
  </si>
  <si>
    <t>B08301_001E (total workers), B08301_003E (drove alone)</t>
  </si>
  <si>
    <t>https://api.census.gov/data/{year}/acs/acs5?get=B08301_001E,B08301_003E&amp;for=tract:*&amp;in=state:24&amp;in=county:510</t>
  </si>
  <si>
    <t>Means of Transportation to Work. Note: B08301_003E may be _002E depending on year - verify variable label.</t>
  </si>
  <si>
    <t>Percent of Population that Uses Public Transportation</t>
  </si>
  <si>
    <t>B08301_001E (total), B08301_010E (public transportation excl taxicab)</t>
  </si>
  <si>
    <t>https://api.census.gov/data/{year}/acs/acs5?get=B08301_001E,B08301_010E&amp;for=tract:*&amp;in=state:24&amp;in=county:510</t>
  </si>
  <si>
    <t>Includes bus, subway, railroad, light rail, streetcar, ferryboat. Excludes taxicab.</t>
  </si>
  <si>
    <t>Percent of Population that Walks to Work</t>
  </si>
  <si>
    <t>B08301_001E (total), B08301_019E (walked)</t>
  </si>
  <si>
    <t>https://api.census.gov/data/{year}/acs/acs5?get=B08301_001E,B08301_019E&amp;for=tract:*&amp;in=state:24&amp;in=county:510</t>
  </si>
  <si>
    <t>Walked to work category.</t>
  </si>
  <si>
    <t>Percent of Population Under 5 Years old</t>
  </si>
  <si>
    <t>B01001_003E (male under 5), B01001_027E (female under 5)</t>
  </si>
  <si>
    <t>https://api.census.gov/data/{year}/acs/acs5?get=B01001_001E,B01001_003E,B01001_027E&amp;for=tract:*&amp;in=state:24&amp;in=county:510</t>
  </si>
  <si>
    <t>Sum male + female under 5 categories.</t>
  </si>
  <si>
    <t>Percent of Residents - All Other Races (Hawaiian/Pacific Islander, etc.)</t>
  </si>
  <si>
    <t>B03002</t>
  </si>
  <si>
    <t>B03002_005E (AIAN NH), B03002_007E (NHPI NH), B03002_008E (Some other race NH)</t>
  </si>
  <si>
    <t>https://api.census.gov/data/{year}/acs/acs5?get=B03002_001E,B03002_005E,B03002_007E,B03002_008E&amp;for=tract:*&amp;in=state:24&amp;in=county:510</t>
  </si>
  <si>
    <t>Hispanic/Latino Origin by Race. "All Other" = AIAN + NHPI + Some Other Race (all Non-Hispanic). Verify BNIA definition of "other".</t>
  </si>
  <si>
    <t>Percent of Residents - Asian (Non-Hispanic)</t>
  </si>
  <si>
    <t>B03002_001E (total), B03002_006E (Asian alone, NH)</t>
  </si>
  <si>
    <t>https://api.census.gov/data/{year}/acs/acs5?get=B03002_001E,B03002_006E&amp;for=tract:*&amp;in=state:24&amp;in=county:510</t>
  </si>
  <si>
    <t>Asian alone, Not Hispanic or Latino.</t>
  </si>
  <si>
    <t>Percent of Residents - Black/African-American (Non-Hispanic)</t>
  </si>
  <si>
    <t>B03002_001E (total), B03002_004E (Black alone, NH)</t>
  </si>
  <si>
    <t>https://api.census.gov/data/{year}/acs/acs5?get=B03002_001E,B03002_004E&amp;for=tract:*&amp;in=state:24&amp;in=county:510</t>
  </si>
  <si>
    <t>Black or African American alone, Not Hispanic or Latino.</t>
  </si>
  <si>
    <t>Percent of Residents - Hispanic</t>
  </si>
  <si>
    <t>B03002_001E (total), B03002_012E (Hispanic or Latino)</t>
  </si>
  <si>
    <t>https://api.census.gov/data/{year}/acs/acs5?get=B03002_001E,B03002_012E&amp;for=tract:*&amp;in=state:24&amp;in=county:510</t>
  </si>
  <si>
    <t>Hispanic or Latino (any race).</t>
  </si>
  <si>
    <t>Percent of Residents - Two or More Races (Non-Hispanic)</t>
  </si>
  <si>
    <t>B03002_001E (total), B03002_009E (Two or more races, NH)</t>
  </si>
  <si>
    <t>https://api.census.gov/data/{year}/acs/acs5?get=B03002_001E,B03002_009E&amp;for=tract:*&amp;in=state:24&amp;in=county:510</t>
  </si>
  <si>
    <t>Two or more races, Not Hispanic or Latino.</t>
  </si>
  <si>
    <t>Percent of Residents - White/Caucasian (Non-Hispanic)</t>
  </si>
  <si>
    <t>B03002_001E (total), B03002_003E (White alone, NH)</t>
  </si>
  <si>
    <t>https://api.census.gov/data/{year}/acs/acs5?get=B03002_001E,B03002_003E&amp;for=tract:*&amp;in=state:24&amp;in=county:510</t>
  </si>
  <si>
    <t>White alone, Not Hispanic or Latino.</t>
  </si>
  <si>
    <t>Percent Population (25+) with Bachelors Degree or above</t>
  </si>
  <si>
    <t>B15003</t>
  </si>
  <si>
    <t>B15003_001E (total 25+), B15003_022E (Bachelors), B15003_023E (Masters), B15003_024E (Professional), B15003_025E (Doctorate)</t>
  </si>
  <si>
    <t>https://api.census.gov/data/{year}/acs/acs5?get=B15003_001E,B15003_022E,B15003_023E,B15003_024E,B15003_025E&amp;for=tract:*&amp;in=state:24&amp;in=county:510</t>
  </si>
  <si>
    <t>Educational Attainment for Pop 25+. Sum Bachelors + Masters + Professional + Doctorate for "Bachelors or above".</t>
  </si>
  <si>
    <t>Percent Population (25+) With Less Than High School Diploma</t>
  </si>
  <si>
    <t>B15003_001E (total), B15003_002E-016E (less than HS categories)</t>
  </si>
  <si>
    <t>https://api.census.gov/data/{year}/acs/acs5?get=B15003_001E,B15003_002E,B15003_003E,B15003_004E,B15003_005E,B15003_006E,B15003_007E,B15003_008E,B15003_009E,B15003_010E,B15003_011E,B15003_012E,B15003_013E,B15003_014E,B15003_015E,B15003_016E&amp;for=tract:*&amp;in=state:24&amp;in=county:510</t>
  </si>
  <si>
    <t>Sum all categories below "High school graduate" (no schooling through 12th grade no diploma). 15 sub-categories to sum.</t>
  </si>
  <si>
    <t>Percent Population (Over 18) Who Voted in General Election</t>
  </si>
  <si>
    <t>https://boe.baltimorecity.gov/boe-past-results | https://elections.maryland.gov/elections/baltimore/election_data/</t>
  </si>
  <si>
    <t>Voter turnout by precinct. Available from Board of Elections after each election. Need to map precincts to CSAs and get 18+ population denominator from ACS.</t>
  </si>
  <si>
    <t>Percent Population 16-64 Employed</t>
  </si>
  <si>
    <t>B23001</t>
  </si>
  <si>
    <t>Multiple variables needed - male/female by age by employment status</t>
  </si>
  <si>
    <t>https://api.census.gov/data/{year}/acs/acs5?get=B23001_001E&amp;for=tract:*&amp;in=state:24&amp;in=county:510</t>
  </si>
  <si>
    <t>Sex by Age by Employment Status. 173 variables. Need to sum "employed" across all 16-64 age groups for both sexes. Consider C23002 (simplified) as alternative.</t>
  </si>
  <si>
    <t>Percent Population 16-64 Not in Labor Force</t>
  </si>
  <si>
    <t>Multiple variables - sum "not in labor force" for ages 16-64 by sex</t>
  </si>
  <si>
    <t>Same table as employed. Sum "not in labor force" categories for 16-64 age range.</t>
  </si>
  <si>
    <t>Percent Population 16-64 Unemployed and Looking for Work</t>
  </si>
  <si>
    <t>Multiple variables - sum "unemployed" for ages 16-64 by sex</t>
  </si>
  <si>
    <t>Same table. Sum "unemployed" categories for 16-64.</t>
  </si>
  <si>
    <t>Percent Population Change from Last Census</t>
  </si>
  <si>
    <t>U.S. Census Bureau</t>
  </si>
  <si>
    <t>B01003 (Decennial + ACS)</t>
  </si>
  <si>
    <t>B01003_001E (total pop) - compare across years</t>
  </si>
  <si>
    <t>Decennial: https://api.census.gov/data/{year}/dec/dhc?get=P1_001N&amp;for=tract:*&amp;in=state:24&amp;in=county:510 | ACS: use B01003</t>
  </si>
  <si>
    <t>Computed measure: (current_pop - prev_pop) / prev_pop. For 2020 Decennial, variable is P1_001N. For ACS years, use B01003_001E.</t>
  </si>
  <si>
    <t>Percentage of the Population that Works from Home</t>
  </si>
  <si>
    <t>y?</t>
  </si>
  <si>
    <t>B08301_001E (total workers), B08301_021E (worked from home)</t>
  </si>
  <si>
    <t>https://api.census.gov/data/{year}/acs/acs5?get=B08301_001E,B08301_021E&amp;for=tract:*&amp;in=state:24&amp;in=county:510</t>
  </si>
  <si>
    <t>Same commuting table. Note: WFH rates jumped significantly post-2020. Historical comparisons should account for this.</t>
  </si>
  <si>
    <t>Percentage of Vacant Properties Owned by Baltimore City</t>
  </si>
  <si>
    <t>https://data.baltimorecity.gov/ - search "vacant buildings" dataset | https://dhcd.baltimorecity.gov/vacant-property-resources-and-information-page</t>
  </si>
  <si>
    <t>Address-level</t>
  </si>
  <si>
    <t>Vacant Building Notices available on Open Baltimore. City-owned subset requires filtering by owner. ~15,600 vacant, ~1,350 city-owned as of recent data.</t>
  </si>
  <si>
    <t>Property Crime Rate per 1,000 Residents</t>
  </si>
  <si>
    <t>Filter Part 1 Crime Data for property crimes (burglary, larceny-theft, motor vehicle theft, arson). Need population denominator.</t>
  </si>
  <si>
    <t>Racial Diversity Index</t>
  </si>
  <si>
    <t>B03002 (computed)</t>
  </si>
  <si>
    <t>Same as race/ethnicity variables (B03002_003E through B03002_012E)</t>
  </si>
  <si>
    <t>https://api.census.gov/data/{year}/acs/acs5?get=B03002_001E,B03002_003E,B03002_004E,B03002_006E,B03002_009E,B03002_012E&amp;for=tract:*&amp;in=state:24&amp;in=county:510</t>
  </si>
  <si>
    <t>Derived metric, not a direct Census variable. Typically uses Simpson Diversity Index or Herfindahl Index. Computed from race/ethnicity proportions from B03002.</t>
  </si>
  <si>
    <t>Rate of Housing Vouchers per 1,000 Rental Units</t>
  </si>
  <si>
    <t>Picture of Subsidized Housing, HUD</t>
  </si>
  <si>
    <t>N/A - HUD data</t>
  </si>
  <si>
    <t>https://www.huduser.gov/portal/datasets/assthsg.html (Picture of Subsidized Housing query tool)</t>
  </si>
  <si>
    <t>Census Tract / City</t>
  </si>
  <si>
    <t>Possibly - tract to CSA</t>
  </si>
  <si>
    <t>HUD Picture of Subsidized Housing. Query tool available. Data may lag 2-3 years. Rental unit denominator from ACS (B25003_003E renter-occupied).</t>
  </si>
  <si>
    <t>Total Population</t>
  </si>
  <si>
    <t>B01003</t>
  </si>
  <si>
    <t>B01003_001E (total population)</t>
  </si>
  <si>
    <t>https://api.census.gov/data/{year}/acs/acs5?get=B01003_001E&amp;for=tract:*&amp;in=state:24&amp;in=county:510</t>
  </si>
  <si>
    <t>Simplest ACS table. Also available from Decennial Census (P1_001N).</t>
  </si>
  <si>
    <t>Unemployment Rate</t>
  </si>
  <si>
    <t>B23025</t>
  </si>
  <si>
    <t>B23025_001E (pop 16+), B23025_003E (civilian labor force), B23025_005E (unemployed)</t>
  </si>
  <si>
    <t>https://api.census.gov/data/{year}/acs/acs5?get=B23025_001E,B23025_003E,B23025_005E&amp;for=tract:*&amp;in=state:24&amp;in=county:510</t>
  </si>
  <si>
    <t>Employment Status for Pop 16+. Rate = unemployed / civilian labor force. Note: ACS unemployment rate differs from BLS (different methodologies).</t>
  </si>
  <si>
    <t>Violent Crime Rate per 1,000 Residents</t>
  </si>
  <si>
    <t>Filter Part 1 Crime Data for violent crimes (homicide, rape, robbery, aggravated assault). Need population denominator from ACS.</t>
  </si>
  <si>
    <t>BNIA Indicator Data Source Summary</t>
  </si>
  <si>
    <t>Total indicators (Y or ?)</t>
  </si>
  <si>
    <t>Census/ACS sourced</t>
  </si>
  <si>
    <t>Non-Census sourced</t>
  </si>
  <si>
    <t>Confidence Breakdown:</t>
  </si>
  <si>
    <t>High confidence</t>
  </si>
  <si>
    <t>Medium/Medium-High confidence</t>
  </si>
  <si>
    <t>Low/Low-Medium confidence</t>
  </si>
  <si>
    <t>Key Notes:</t>
  </si>
  <si>
    <t>1. Census API base URL:</t>
  </si>
  <si>
    <t>https://api.census.gov/data/{year}/acs/acs5</t>
  </si>
  <si>
    <t>2. Baltimore City FIPS:</t>
  </si>
  <si>
    <t>State: 24 (Maryland), County: 510 (Baltimore City)</t>
  </si>
  <si>
    <t>3. Tract-to-CSA crosswalk:</t>
  </si>
  <si>
    <t>Required for most Census indicators. BNIA maintains crosswalk.</t>
  </si>
  <si>
    <t>4. API key:</t>
  </si>
  <si>
    <t>Optional for Census API but recommended. Get at api.census.gov/data/key_signup.html</t>
  </si>
  <si>
    <t>5. Open Baltimore (Socrata):</t>
  </si>
  <si>
    <t>https://data.baltimorecity.gov/ - free API, optional key for higher rate limits</t>
  </si>
  <si>
    <t>Data Sources Without Public APIs:</t>
  </si>
  <si>
    <t>- Baltimore City Public Schools (education indicators):</t>
  </si>
  <si>
    <t>Download from reportcard.msde.maryland.gov</t>
  </si>
  <si>
    <t>- Baltimore City Health Dept (health indicators):</t>
  </si>
  <si>
    <t>Published in Neighborhood Health Profiles (PDF/web)</t>
  </si>
  <si>
    <t>- Maryland DHS (TANF/SNAP):</t>
  </si>
  <si>
    <t>Data request to state agency</t>
  </si>
  <si>
    <t>- First American Real Estate (home sales):</t>
  </si>
  <si>
    <t>Proprietary - no public alternative at neighborhood level</t>
  </si>
  <si>
    <t>- MD Dept of Environment (lead):</t>
  </si>
  <si>
    <t>Data request required, privacy restrictions</t>
  </si>
  <si>
    <t>- Board of Elections (voter data):</t>
  </si>
  <si>
    <t>Public aggregate stats; detailed data costs $75+</t>
  </si>
  <si>
    <t>VERIFICATION STATUS:</t>
  </si>
  <si>
    <t>Table IDs confirmed via web search (Census Reporter, Social Explorer, data.census.gov references).</t>
  </si>
  <si>
    <t>Specific variable codes (e.g., B08301_003E vs _002E for "drove alone") should be verified against the</t>
  </si>
  <si>
    <t>Census API group endpoint for your target ACS vintage year before building pipelines:</t>
  </si>
  <si>
    <t>https://api.census.gov/data/{year}/acs/acs5/groups/{TABLE_ID}.html</t>
  </si>
  <si>
    <t>Variable codes can shift between ACS release years. Always verify with the groups endpoint.</t>
  </si>
  <si>
    <t>IMPORTANT: For "drove alone to work" in B08301, verify whether the variable is _002E or _003E</t>
  </si>
  <si>
    <t>for your target year. The table structure changed slightly across vintages.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</si>
</sst>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  <font>
      <b/>
      <sz val="10"/>
      <color rgb="FFFF0000"/>
      <name val="Arial"/>
    </font>
    <font>
      <sz val="10"/>
      <color rgb="FF0000FF"/>
      <name val="Arial"/>
    </font>
    <font>
      <sz val="10"/>
      <color rgb="FFFF0000"/>
      <name val="Arial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pane xSplit="4" ySplit="1" topLeftCell="I42" activePane="bottomRight" state="frozen"/>
      <selection pane="topRight" activeCell="D1" sqref="D1"/>
      <selection pane="bottomLeft" activeCell="A2" sqref="A2"/>
      <selection pane="bottomRight" activeCell="L62" sqref="L62:L64"/>
    </sheetView>
  </sheetViews>
  <sheetFormatPr baseColWidth="10" defaultColWidth="8.83203125" defaultRowHeight="15" x14ac:dyDescent="0.2"/>
  <cols>
    <col min="1" max="2" width="6" customWidth="1"/>
    <col min="3" max="3" width="45" customWidth="1"/>
    <col min="4" max="4" width="8" customWidth="1"/>
    <col min="5" max="5" width="20" customWidth="1"/>
    <col min="6" max="6" width="35" customWidth="1"/>
    <col min="7" max="7" width="18" customWidth="1"/>
    <col min="8" max="8" width="40" customWidth="1"/>
    <col min="9" max="9" width="55" customWidth="1"/>
    <col min="10" max="10" width="20" customWidth="1"/>
    <col min="11" max="12" width="12" customWidth="1"/>
    <col min="13" max="13" width="10" customWidth="1"/>
    <col min="14" max="14" width="50" customWidth="1"/>
  </cols>
  <sheetData>
    <row r="1" spans="1:14" ht="30" customHeight="1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2" t="s">
        <v>5</v>
      </c>
      <c r="H1" s="1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2" x14ac:dyDescent="0.2">
      <c r="A2" s="2">
        <v>2</v>
      </c>
      <c r="B2" s="2">
        <f>A2-1</f>
        <v>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3" t="s">
        <v>23</v>
      </c>
      <c r="N2" s="2" t="s">
        <v>24</v>
      </c>
    </row>
    <row r="3" spans="1:14" ht="42" x14ac:dyDescent="0.2">
      <c r="A3" s="2">
        <v>3</v>
      </c>
      <c r="B3" s="2">
        <f t="shared" ref="B3:B64" si="0">A3-1</f>
        <v>2</v>
      </c>
      <c r="C3" s="2" t="s">
        <v>25</v>
      </c>
      <c r="D3" s="2" t="s">
        <v>14</v>
      </c>
      <c r="E3" s="2" t="s">
        <v>15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20</v>
      </c>
      <c r="K3" s="2" t="s">
        <v>21</v>
      </c>
      <c r="L3" s="2" t="s">
        <v>29</v>
      </c>
      <c r="M3" s="3" t="s">
        <v>23</v>
      </c>
      <c r="N3" s="2" t="s">
        <v>30</v>
      </c>
    </row>
    <row r="4" spans="1:14" ht="42" x14ac:dyDescent="0.2">
      <c r="A4" s="2">
        <v>5</v>
      </c>
      <c r="B4" s="2">
        <f t="shared" si="0"/>
        <v>4</v>
      </c>
      <c r="C4" s="2" t="s">
        <v>31</v>
      </c>
      <c r="D4" s="2" t="s">
        <v>14</v>
      </c>
      <c r="E4" s="2" t="s">
        <v>32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20</v>
      </c>
      <c r="K4" s="2" t="s">
        <v>21</v>
      </c>
      <c r="L4" s="2" t="s">
        <v>29</v>
      </c>
      <c r="M4" s="3" t="s">
        <v>23</v>
      </c>
      <c r="N4" s="2" t="s">
        <v>36</v>
      </c>
    </row>
    <row r="5" spans="1:14" ht="42" x14ac:dyDescent="0.2">
      <c r="A5" s="2">
        <v>9</v>
      </c>
      <c r="B5" s="2">
        <f t="shared" si="0"/>
        <v>8</v>
      </c>
      <c r="C5" s="2" t="s">
        <v>37</v>
      </c>
      <c r="D5" s="2" t="s">
        <v>14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  <c r="M5" s="4" t="s">
        <v>46</v>
      </c>
      <c r="N5" s="2" t="s">
        <v>47</v>
      </c>
    </row>
    <row r="6" spans="1:14" ht="28" x14ac:dyDescent="0.2">
      <c r="A6" s="2">
        <v>10</v>
      </c>
      <c r="B6" s="2">
        <f t="shared" si="0"/>
        <v>9</v>
      </c>
      <c r="C6" s="2" t="s">
        <v>48</v>
      </c>
      <c r="D6" s="2" t="s">
        <v>14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4" t="s">
        <v>46</v>
      </c>
      <c r="N6" s="2" t="s">
        <v>49</v>
      </c>
    </row>
    <row r="7" spans="1:14" ht="42" x14ac:dyDescent="0.2">
      <c r="A7" s="2">
        <v>11</v>
      </c>
      <c r="B7" s="2">
        <f t="shared" si="0"/>
        <v>10</v>
      </c>
      <c r="C7" s="2" t="s">
        <v>50</v>
      </c>
      <c r="D7" s="2" t="s">
        <v>14</v>
      </c>
      <c r="E7" s="2" t="s">
        <v>51</v>
      </c>
      <c r="F7" s="2" t="s">
        <v>52</v>
      </c>
      <c r="G7" s="2" t="s">
        <v>40</v>
      </c>
      <c r="H7" s="2" t="s">
        <v>41</v>
      </c>
      <c r="I7" s="2" t="s">
        <v>53</v>
      </c>
      <c r="J7" s="2" t="s">
        <v>54</v>
      </c>
      <c r="K7" s="2" t="s">
        <v>55</v>
      </c>
      <c r="L7" s="2" t="s">
        <v>45</v>
      </c>
      <c r="M7" s="4" t="s">
        <v>46</v>
      </c>
      <c r="N7" s="2" t="s">
        <v>56</v>
      </c>
    </row>
    <row r="8" spans="1:14" ht="42" x14ac:dyDescent="0.2">
      <c r="A8" s="2">
        <v>15</v>
      </c>
      <c r="B8" s="2">
        <f t="shared" si="0"/>
        <v>14</v>
      </c>
      <c r="C8" s="2" t="s">
        <v>57</v>
      </c>
      <c r="D8" s="4" t="s">
        <v>58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59</v>
      </c>
      <c r="J8" s="2" t="s">
        <v>43</v>
      </c>
      <c r="K8" s="2" t="s">
        <v>44</v>
      </c>
      <c r="L8" s="2" t="s">
        <v>45</v>
      </c>
      <c r="M8" s="5" t="s">
        <v>60</v>
      </c>
      <c r="N8" s="2" t="s">
        <v>61</v>
      </c>
    </row>
    <row r="9" spans="1:14" ht="42" x14ac:dyDescent="0.2">
      <c r="A9" s="2">
        <v>17</v>
      </c>
      <c r="B9" s="2">
        <f t="shared" si="0"/>
        <v>16</v>
      </c>
      <c r="C9" s="2" t="s">
        <v>62</v>
      </c>
      <c r="D9" s="2" t="s">
        <v>14</v>
      </c>
      <c r="E9" s="2" t="s">
        <v>51</v>
      </c>
      <c r="F9" s="2" t="s">
        <v>52</v>
      </c>
      <c r="G9" s="2" t="s">
        <v>40</v>
      </c>
      <c r="H9" s="2" t="s">
        <v>41</v>
      </c>
      <c r="I9" s="2" t="s">
        <v>53</v>
      </c>
      <c r="J9" s="2" t="s">
        <v>54</v>
      </c>
      <c r="K9" s="2" t="s">
        <v>55</v>
      </c>
      <c r="L9" s="2" t="s">
        <v>45</v>
      </c>
      <c r="M9" s="4" t="s">
        <v>46</v>
      </c>
      <c r="N9" s="2" t="s">
        <v>63</v>
      </c>
    </row>
    <row r="10" spans="1:14" ht="42" x14ac:dyDescent="0.2">
      <c r="A10" s="2">
        <v>20</v>
      </c>
      <c r="B10" s="2">
        <f t="shared" si="0"/>
        <v>19</v>
      </c>
      <c r="C10" s="2" t="s">
        <v>64</v>
      </c>
      <c r="D10" s="2" t="s">
        <v>14</v>
      </c>
      <c r="E10" s="2" t="s">
        <v>32</v>
      </c>
      <c r="F10" s="2" t="s">
        <v>16</v>
      </c>
      <c r="G10" s="2" t="s">
        <v>65</v>
      </c>
      <c r="H10" s="2" t="s">
        <v>66</v>
      </c>
      <c r="I10" s="2" t="s">
        <v>67</v>
      </c>
      <c r="J10" s="2" t="s">
        <v>20</v>
      </c>
      <c r="K10" s="2" t="s">
        <v>21</v>
      </c>
      <c r="L10" s="2" t="s">
        <v>29</v>
      </c>
      <c r="M10" s="3" t="s">
        <v>23</v>
      </c>
      <c r="N10" s="2" t="s">
        <v>68</v>
      </c>
    </row>
    <row r="11" spans="1:14" ht="56" x14ac:dyDescent="0.2">
      <c r="A11" s="2">
        <v>22</v>
      </c>
      <c r="B11" s="2">
        <f t="shared" si="0"/>
        <v>21</v>
      </c>
      <c r="C11" s="2" t="s">
        <v>69</v>
      </c>
      <c r="D11" s="4" t="s">
        <v>58</v>
      </c>
      <c r="E11" s="2" t="s">
        <v>15</v>
      </c>
      <c r="F11" s="2" t="s">
        <v>70</v>
      </c>
      <c r="G11" s="2" t="s">
        <v>71</v>
      </c>
      <c r="H11" s="2" t="s">
        <v>41</v>
      </c>
      <c r="I11" s="2" t="s">
        <v>72</v>
      </c>
      <c r="J11" s="2" t="s">
        <v>73</v>
      </c>
      <c r="K11" s="2" t="s">
        <v>74</v>
      </c>
      <c r="L11" s="2" t="s">
        <v>75</v>
      </c>
      <c r="M11" s="5" t="s">
        <v>60</v>
      </c>
      <c r="N11" s="2" t="s">
        <v>76</v>
      </c>
    </row>
    <row r="12" spans="1:14" ht="56" x14ac:dyDescent="0.2">
      <c r="A12" s="2">
        <v>36</v>
      </c>
      <c r="B12" s="2">
        <f t="shared" si="0"/>
        <v>35</v>
      </c>
      <c r="C12" s="2" t="s">
        <v>77</v>
      </c>
      <c r="D12" s="4" t="s">
        <v>58</v>
      </c>
      <c r="E12" s="2" t="s">
        <v>51</v>
      </c>
      <c r="F12" s="2" t="s">
        <v>78</v>
      </c>
      <c r="G12" s="2" t="s">
        <v>79</v>
      </c>
      <c r="H12" s="2" t="s">
        <v>41</v>
      </c>
      <c r="I12" s="2" t="s">
        <v>80</v>
      </c>
      <c r="J12" s="2" t="s">
        <v>81</v>
      </c>
      <c r="K12" s="2" t="s">
        <v>82</v>
      </c>
      <c r="L12" s="2" t="s">
        <v>83</v>
      </c>
      <c r="M12" s="5" t="s">
        <v>60</v>
      </c>
      <c r="N12" s="2" t="s">
        <v>84</v>
      </c>
    </row>
    <row r="13" spans="1:14" ht="42" x14ac:dyDescent="0.2">
      <c r="A13" s="2">
        <v>40</v>
      </c>
      <c r="B13" s="2">
        <f t="shared" si="0"/>
        <v>39</v>
      </c>
      <c r="C13" s="2" t="s">
        <v>85</v>
      </c>
      <c r="D13" s="2" t="s">
        <v>14</v>
      </c>
      <c r="E13" s="2" t="s">
        <v>15</v>
      </c>
      <c r="F13" s="2" t="s">
        <v>86</v>
      </c>
      <c r="G13" s="2" t="s">
        <v>87</v>
      </c>
      <c r="H13" s="2" t="s">
        <v>41</v>
      </c>
      <c r="I13" s="2" t="s">
        <v>88</v>
      </c>
      <c r="J13" s="2" t="s">
        <v>89</v>
      </c>
      <c r="K13" s="2" t="s">
        <v>90</v>
      </c>
      <c r="L13" s="2" t="s">
        <v>91</v>
      </c>
      <c r="M13" s="4" t="s">
        <v>92</v>
      </c>
      <c r="N13" s="2" t="s">
        <v>93</v>
      </c>
    </row>
    <row r="14" spans="1:14" ht="42" x14ac:dyDescent="0.2">
      <c r="A14" s="2">
        <v>43</v>
      </c>
      <c r="B14" s="2">
        <f t="shared" si="0"/>
        <v>42</v>
      </c>
      <c r="C14" s="2" t="s">
        <v>94</v>
      </c>
      <c r="D14" s="2" t="s">
        <v>14</v>
      </c>
      <c r="E14" s="2" t="s">
        <v>95</v>
      </c>
      <c r="F14" s="2" t="s">
        <v>96</v>
      </c>
      <c r="G14" s="2" t="s">
        <v>87</v>
      </c>
      <c r="H14" s="2" t="s">
        <v>41</v>
      </c>
      <c r="I14" s="2" t="s">
        <v>97</v>
      </c>
      <c r="J14" s="2" t="s">
        <v>98</v>
      </c>
      <c r="K14" s="2" t="s">
        <v>99</v>
      </c>
      <c r="L14" s="2" t="s">
        <v>91</v>
      </c>
      <c r="M14" s="3" t="s">
        <v>23</v>
      </c>
      <c r="N14" s="2" t="s">
        <v>100</v>
      </c>
    </row>
    <row r="15" spans="1:14" ht="42" x14ac:dyDescent="0.2">
      <c r="A15" s="2">
        <v>46</v>
      </c>
      <c r="B15" s="2">
        <f t="shared" si="0"/>
        <v>45</v>
      </c>
      <c r="C15" s="2" t="s">
        <v>101</v>
      </c>
      <c r="D15" s="2" t="s">
        <v>14</v>
      </c>
      <c r="E15" s="2" t="s">
        <v>15</v>
      </c>
      <c r="F15" s="2" t="s">
        <v>70</v>
      </c>
      <c r="G15" s="2" t="s">
        <v>71</v>
      </c>
      <c r="H15" s="2" t="s">
        <v>41</v>
      </c>
      <c r="I15" s="2" t="s">
        <v>102</v>
      </c>
      <c r="J15" s="2" t="s">
        <v>103</v>
      </c>
      <c r="K15" s="2" t="s">
        <v>74</v>
      </c>
      <c r="L15" s="2" t="s">
        <v>45</v>
      </c>
      <c r="M15" s="5" t="s">
        <v>60</v>
      </c>
      <c r="N15" s="2" t="s">
        <v>104</v>
      </c>
    </row>
    <row r="16" spans="1:14" ht="56" x14ac:dyDescent="0.2">
      <c r="A16" s="2">
        <v>51</v>
      </c>
      <c r="B16" s="2">
        <f t="shared" si="0"/>
        <v>50</v>
      </c>
      <c r="C16" s="2" t="s">
        <v>105</v>
      </c>
      <c r="D16" s="4" t="s">
        <v>58</v>
      </c>
      <c r="E16" s="2" t="s">
        <v>51</v>
      </c>
      <c r="F16" s="2" t="s">
        <v>96</v>
      </c>
      <c r="G16" s="2" t="s">
        <v>87</v>
      </c>
      <c r="H16" s="2" t="s">
        <v>41</v>
      </c>
      <c r="I16" s="2" t="s">
        <v>106</v>
      </c>
      <c r="J16" s="2" t="s">
        <v>107</v>
      </c>
      <c r="K16" s="2" t="s">
        <v>99</v>
      </c>
      <c r="L16" s="2" t="s">
        <v>91</v>
      </c>
      <c r="M16" s="5" t="s">
        <v>108</v>
      </c>
      <c r="N16" s="2" t="s">
        <v>109</v>
      </c>
    </row>
    <row r="17" spans="1:14" ht="42" x14ac:dyDescent="0.2">
      <c r="A17" s="2">
        <v>54</v>
      </c>
      <c r="B17" s="2">
        <f t="shared" si="0"/>
        <v>53</v>
      </c>
      <c r="C17" s="2" t="s">
        <v>110</v>
      </c>
      <c r="D17" s="2" t="s">
        <v>14</v>
      </c>
      <c r="E17" s="2" t="s">
        <v>95</v>
      </c>
      <c r="F17" s="2" t="s">
        <v>96</v>
      </c>
      <c r="G17" s="2" t="s">
        <v>87</v>
      </c>
      <c r="H17" s="2" t="s">
        <v>41</v>
      </c>
      <c r="I17" s="2" t="s">
        <v>97</v>
      </c>
      <c r="J17" s="2" t="s">
        <v>98</v>
      </c>
      <c r="K17" s="2" t="s">
        <v>99</v>
      </c>
      <c r="L17" s="2" t="s">
        <v>91</v>
      </c>
      <c r="M17" s="3" t="s">
        <v>23</v>
      </c>
      <c r="N17" s="2" t="s">
        <v>111</v>
      </c>
    </row>
    <row r="18" spans="1:14" ht="42" x14ac:dyDescent="0.2">
      <c r="A18" s="2">
        <v>63</v>
      </c>
      <c r="B18" s="2">
        <f t="shared" si="0"/>
        <v>62</v>
      </c>
      <c r="C18" s="2" t="s">
        <v>112</v>
      </c>
      <c r="D18" s="2" t="s">
        <v>14</v>
      </c>
      <c r="E18" s="2" t="s">
        <v>95</v>
      </c>
      <c r="F18" s="2" t="s">
        <v>96</v>
      </c>
      <c r="G18" s="2" t="s">
        <v>87</v>
      </c>
      <c r="H18" s="2" t="s">
        <v>41</v>
      </c>
      <c r="I18" s="2" t="s">
        <v>97</v>
      </c>
      <c r="J18" s="2" t="s">
        <v>98</v>
      </c>
      <c r="K18" s="2" t="s">
        <v>99</v>
      </c>
      <c r="L18" s="2" t="s">
        <v>91</v>
      </c>
      <c r="M18" s="3" t="s">
        <v>23</v>
      </c>
      <c r="N18" s="2" t="s">
        <v>113</v>
      </c>
    </row>
    <row r="19" spans="1:14" ht="42" x14ac:dyDescent="0.2">
      <c r="A19" s="2">
        <v>64</v>
      </c>
      <c r="B19" s="2">
        <f t="shared" si="0"/>
        <v>63</v>
      </c>
      <c r="C19" s="2" t="s">
        <v>114</v>
      </c>
      <c r="D19" s="4" t="s">
        <v>58</v>
      </c>
      <c r="E19" s="2" t="s">
        <v>38</v>
      </c>
      <c r="F19" s="2" t="s">
        <v>39</v>
      </c>
      <c r="G19" s="2" t="s">
        <v>40</v>
      </c>
      <c r="H19" s="2" t="s">
        <v>41</v>
      </c>
      <c r="I19" s="2" t="s">
        <v>59</v>
      </c>
      <c r="J19" s="2" t="s">
        <v>43</v>
      </c>
      <c r="K19" s="2" t="s">
        <v>44</v>
      </c>
      <c r="L19" s="2" t="s">
        <v>45</v>
      </c>
      <c r="M19" s="5" t="s">
        <v>60</v>
      </c>
      <c r="N19" s="2" t="s">
        <v>115</v>
      </c>
    </row>
    <row r="20" spans="1:14" ht="28" x14ac:dyDescent="0.2">
      <c r="A20" s="2">
        <v>65</v>
      </c>
      <c r="B20" s="2">
        <f t="shared" si="0"/>
        <v>64</v>
      </c>
      <c r="C20" s="2" t="s">
        <v>116</v>
      </c>
      <c r="D20" s="4" t="s">
        <v>58</v>
      </c>
      <c r="E20" s="2" t="s">
        <v>38</v>
      </c>
      <c r="F20" s="2" t="s">
        <v>39</v>
      </c>
      <c r="G20" s="2" t="s">
        <v>40</v>
      </c>
      <c r="H20" s="2" t="s">
        <v>41</v>
      </c>
      <c r="I20" s="2" t="s">
        <v>59</v>
      </c>
      <c r="J20" s="2" t="s">
        <v>43</v>
      </c>
      <c r="K20" s="2" t="s">
        <v>44</v>
      </c>
      <c r="L20" s="2" t="s">
        <v>45</v>
      </c>
      <c r="M20" s="5" t="s">
        <v>60</v>
      </c>
      <c r="N20" s="2" t="s">
        <v>117</v>
      </c>
    </row>
    <row r="21" spans="1:14" ht="28" x14ac:dyDescent="0.2">
      <c r="A21" s="2">
        <v>66</v>
      </c>
      <c r="B21" s="2">
        <f t="shared" si="0"/>
        <v>65</v>
      </c>
      <c r="C21" s="2" t="s">
        <v>118</v>
      </c>
      <c r="D21" s="4" t="s">
        <v>58</v>
      </c>
      <c r="E21" s="2" t="s">
        <v>38</v>
      </c>
      <c r="F21" s="2" t="s">
        <v>39</v>
      </c>
      <c r="G21" s="2" t="s">
        <v>40</v>
      </c>
      <c r="H21" s="2" t="s">
        <v>41</v>
      </c>
      <c r="I21" s="2" t="s">
        <v>59</v>
      </c>
      <c r="J21" s="2" t="s">
        <v>43</v>
      </c>
      <c r="K21" s="2" t="s">
        <v>44</v>
      </c>
      <c r="L21" s="2" t="s">
        <v>45</v>
      </c>
      <c r="M21" s="5" t="s">
        <v>60</v>
      </c>
      <c r="N21" s="2" t="s">
        <v>119</v>
      </c>
    </row>
    <row r="22" spans="1:14" ht="42" x14ac:dyDescent="0.2">
      <c r="A22" s="2">
        <v>76</v>
      </c>
      <c r="B22" s="2">
        <f t="shared" si="0"/>
        <v>75</v>
      </c>
      <c r="C22" s="2" t="s">
        <v>120</v>
      </c>
      <c r="D22" s="2" t="s">
        <v>14</v>
      </c>
      <c r="E22" s="2" t="s">
        <v>32</v>
      </c>
      <c r="F22" s="2" t="s">
        <v>16</v>
      </c>
      <c r="G22" s="2" t="s">
        <v>121</v>
      </c>
      <c r="H22" s="2" t="s">
        <v>122</v>
      </c>
      <c r="I22" s="2" t="s">
        <v>123</v>
      </c>
      <c r="J22" s="2" t="s">
        <v>20</v>
      </c>
      <c r="K22" s="2" t="s">
        <v>21</v>
      </c>
      <c r="L22" s="2" t="s">
        <v>29</v>
      </c>
      <c r="M22" s="3" t="s">
        <v>23</v>
      </c>
      <c r="N22" s="2" t="s">
        <v>124</v>
      </c>
    </row>
    <row r="23" spans="1:14" ht="42" x14ac:dyDescent="0.2">
      <c r="A23" s="2">
        <v>81</v>
      </c>
      <c r="B23" s="2">
        <f t="shared" si="0"/>
        <v>80</v>
      </c>
      <c r="C23" s="2" t="s">
        <v>125</v>
      </c>
      <c r="D23" s="2" t="s">
        <v>14</v>
      </c>
      <c r="E23" s="2" t="s">
        <v>126</v>
      </c>
      <c r="F23" s="2" t="s">
        <v>16</v>
      </c>
      <c r="G23" s="2" t="s">
        <v>127</v>
      </c>
      <c r="H23" s="2" t="s">
        <v>128</v>
      </c>
      <c r="I23" s="2" t="s">
        <v>129</v>
      </c>
      <c r="J23" s="2" t="s">
        <v>20</v>
      </c>
      <c r="K23" s="2" t="s">
        <v>21</v>
      </c>
      <c r="L23" s="2" t="s">
        <v>29</v>
      </c>
      <c r="M23" s="3" t="s">
        <v>23</v>
      </c>
      <c r="N23" s="2" t="s">
        <v>130</v>
      </c>
    </row>
    <row r="24" spans="1:14" ht="42" x14ac:dyDescent="0.2">
      <c r="A24" s="2">
        <v>83</v>
      </c>
      <c r="B24" s="2">
        <f t="shared" si="0"/>
        <v>82</v>
      </c>
      <c r="C24" s="2" t="s">
        <v>131</v>
      </c>
      <c r="D24" s="2" t="s">
        <v>14</v>
      </c>
      <c r="E24" s="2" t="s">
        <v>51</v>
      </c>
      <c r="F24" s="2" t="s">
        <v>132</v>
      </c>
      <c r="G24" s="2" t="s">
        <v>79</v>
      </c>
      <c r="H24" s="2" t="s">
        <v>41</v>
      </c>
      <c r="I24" s="2" t="s">
        <v>133</v>
      </c>
      <c r="J24" s="2" t="s">
        <v>134</v>
      </c>
      <c r="K24" s="2" t="s">
        <v>135</v>
      </c>
      <c r="L24" s="2" t="s">
        <v>45</v>
      </c>
      <c r="M24" s="5" t="s">
        <v>60</v>
      </c>
      <c r="N24" s="2" t="s">
        <v>136</v>
      </c>
    </row>
    <row r="25" spans="1:14" ht="42" x14ac:dyDescent="0.2">
      <c r="A25" s="2">
        <v>84</v>
      </c>
      <c r="B25" s="2">
        <f t="shared" si="0"/>
        <v>83</v>
      </c>
      <c r="C25" s="2" t="s">
        <v>137</v>
      </c>
      <c r="D25" s="2" t="s">
        <v>14</v>
      </c>
      <c r="E25" s="2" t="s">
        <v>32</v>
      </c>
      <c r="F25" s="2" t="s">
        <v>16</v>
      </c>
      <c r="G25" s="2" t="s">
        <v>138</v>
      </c>
      <c r="H25" s="2" t="s">
        <v>139</v>
      </c>
      <c r="I25" s="2" t="s">
        <v>140</v>
      </c>
      <c r="J25" s="2" t="s">
        <v>20</v>
      </c>
      <c r="K25" s="2" t="s">
        <v>21</v>
      </c>
      <c r="L25" s="2" t="s">
        <v>29</v>
      </c>
      <c r="M25" s="3" t="s">
        <v>23</v>
      </c>
      <c r="N25" s="2" t="s">
        <v>141</v>
      </c>
    </row>
    <row r="26" spans="1:14" ht="42" x14ac:dyDescent="0.2">
      <c r="A26" s="2">
        <v>87</v>
      </c>
      <c r="B26" s="2">
        <f t="shared" si="0"/>
        <v>86</v>
      </c>
      <c r="C26" s="2" t="s">
        <v>142</v>
      </c>
      <c r="D26" s="2" t="s">
        <v>14</v>
      </c>
      <c r="E26" s="2" t="s">
        <v>32</v>
      </c>
      <c r="F26" s="2" t="s">
        <v>16</v>
      </c>
      <c r="G26" s="2" t="s">
        <v>143</v>
      </c>
      <c r="H26" s="2" t="s">
        <v>144</v>
      </c>
      <c r="I26" s="2" t="s">
        <v>145</v>
      </c>
      <c r="J26" s="2" t="s">
        <v>20</v>
      </c>
      <c r="K26" s="2" t="s">
        <v>21</v>
      </c>
      <c r="L26" s="2" t="s">
        <v>29</v>
      </c>
      <c r="M26" s="3" t="s">
        <v>23</v>
      </c>
      <c r="N26" s="2" t="s">
        <v>146</v>
      </c>
    </row>
    <row r="27" spans="1:14" ht="42" x14ac:dyDescent="0.2">
      <c r="A27" s="2">
        <v>88</v>
      </c>
      <c r="B27" s="2">
        <f t="shared" si="0"/>
        <v>87</v>
      </c>
      <c r="C27" s="2" t="s">
        <v>147</v>
      </c>
      <c r="D27" s="2" t="s">
        <v>14</v>
      </c>
      <c r="E27" s="2" t="s">
        <v>32</v>
      </c>
      <c r="F27" s="2" t="s">
        <v>16</v>
      </c>
      <c r="G27" s="2" t="s">
        <v>143</v>
      </c>
      <c r="H27" s="2" t="s">
        <v>148</v>
      </c>
      <c r="I27" s="2" t="s">
        <v>149</v>
      </c>
      <c r="J27" s="2" t="s">
        <v>20</v>
      </c>
      <c r="K27" s="2" t="s">
        <v>21</v>
      </c>
      <c r="L27" s="2" t="s">
        <v>29</v>
      </c>
      <c r="M27" s="3" t="s">
        <v>23</v>
      </c>
      <c r="N27" s="2" t="s">
        <v>150</v>
      </c>
    </row>
    <row r="28" spans="1:14" ht="28" x14ac:dyDescent="0.2">
      <c r="A28" s="2">
        <v>89</v>
      </c>
      <c r="B28" s="2">
        <f t="shared" si="0"/>
        <v>88</v>
      </c>
      <c r="C28" s="2" t="s">
        <v>151</v>
      </c>
      <c r="D28" s="2" t="s">
        <v>14</v>
      </c>
      <c r="E28" s="2" t="s">
        <v>32</v>
      </c>
      <c r="F28" s="2" t="s">
        <v>16</v>
      </c>
      <c r="G28" s="2" t="s">
        <v>143</v>
      </c>
      <c r="H28" s="2" t="s">
        <v>152</v>
      </c>
      <c r="I28" s="2" t="s">
        <v>153</v>
      </c>
      <c r="J28" s="2" t="s">
        <v>20</v>
      </c>
      <c r="K28" s="2" t="s">
        <v>21</v>
      </c>
      <c r="L28" s="2" t="s">
        <v>29</v>
      </c>
      <c r="M28" s="3" t="s">
        <v>23</v>
      </c>
      <c r="N28" s="2" t="s">
        <v>154</v>
      </c>
    </row>
    <row r="29" spans="1:14" ht="42" x14ac:dyDescent="0.2">
      <c r="A29" s="2">
        <v>90</v>
      </c>
      <c r="B29" s="2">
        <f t="shared" si="0"/>
        <v>89</v>
      </c>
      <c r="C29" s="2" t="s">
        <v>155</v>
      </c>
      <c r="D29" s="2" t="s">
        <v>14</v>
      </c>
      <c r="E29" s="2" t="s">
        <v>32</v>
      </c>
      <c r="F29" s="2" t="s">
        <v>16</v>
      </c>
      <c r="G29" s="2" t="s">
        <v>143</v>
      </c>
      <c r="H29" s="2" t="s">
        <v>156</v>
      </c>
      <c r="I29" s="2" t="s">
        <v>157</v>
      </c>
      <c r="J29" s="2" t="s">
        <v>20</v>
      </c>
      <c r="K29" s="2" t="s">
        <v>21</v>
      </c>
      <c r="L29" s="2" t="s">
        <v>29</v>
      </c>
      <c r="M29" s="3" t="s">
        <v>23</v>
      </c>
      <c r="N29" s="2" t="s">
        <v>158</v>
      </c>
    </row>
    <row r="30" spans="1:14" ht="42" x14ac:dyDescent="0.2">
      <c r="A30" s="2">
        <v>91</v>
      </c>
      <c r="B30" s="2">
        <f t="shared" si="0"/>
        <v>90</v>
      </c>
      <c r="C30" s="2" t="s">
        <v>159</v>
      </c>
      <c r="D30" s="2" t="s">
        <v>14</v>
      </c>
      <c r="E30" s="2" t="s">
        <v>32</v>
      </c>
      <c r="F30" s="2" t="s">
        <v>16</v>
      </c>
      <c r="G30" s="2" t="s">
        <v>143</v>
      </c>
      <c r="H30" s="2" t="s">
        <v>160</v>
      </c>
      <c r="I30" s="2" t="s">
        <v>161</v>
      </c>
      <c r="J30" s="2" t="s">
        <v>20</v>
      </c>
      <c r="K30" s="2" t="s">
        <v>21</v>
      </c>
      <c r="L30" s="2" t="s">
        <v>29</v>
      </c>
      <c r="M30" s="3" t="s">
        <v>23</v>
      </c>
      <c r="N30" s="2" t="s">
        <v>162</v>
      </c>
    </row>
    <row r="31" spans="1:14" ht="28" x14ac:dyDescent="0.2">
      <c r="A31" s="2">
        <v>92</v>
      </c>
      <c r="B31" s="2">
        <f t="shared" si="0"/>
        <v>91</v>
      </c>
      <c r="C31" s="2" t="s">
        <v>163</v>
      </c>
      <c r="D31" s="2" t="s">
        <v>14</v>
      </c>
      <c r="E31" s="2" t="s">
        <v>32</v>
      </c>
      <c r="F31" s="2" t="s">
        <v>16</v>
      </c>
      <c r="G31" s="2" t="s">
        <v>164</v>
      </c>
      <c r="H31" s="2" t="s">
        <v>165</v>
      </c>
      <c r="I31" s="2" t="s">
        <v>166</v>
      </c>
      <c r="J31" s="2" t="s">
        <v>20</v>
      </c>
      <c r="K31" s="2" t="s">
        <v>21</v>
      </c>
      <c r="L31" s="2" t="s">
        <v>29</v>
      </c>
      <c r="M31" s="3" t="s">
        <v>23</v>
      </c>
      <c r="N31" s="2" t="s">
        <v>167</v>
      </c>
    </row>
    <row r="32" spans="1:14" ht="42" x14ac:dyDescent="0.2">
      <c r="A32" s="2">
        <v>93</v>
      </c>
      <c r="B32" s="2">
        <f t="shared" si="0"/>
        <v>92</v>
      </c>
      <c r="C32" s="2" t="s">
        <v>168</v>
      </c>
      <c r="D32" s="2" t="s">
        <v>14</v>
      </c>
      <c r="E32" s="2" t="s">
        <v>169</v>
      </c>
      <c r="F32" s="2" t="s">
        <v>16</v>
      </c>
      <c r="G32" s="2" t="s">
        <v>170</v>
      </c>
      <c r="H32" s="2" t="s">
        <v>171</v>
      </c>
      <c r="I32" s="2" t="s">
        <v>172</v>
      </c>
      <c r="J32" s="2" t="s">
        <v>20</v>
      </c>
      <c r="K32" s="2" t="s">
        <v>21</v>
      </c>
      <c r="L32" s="2" t="s">
        <v>29</v>
      </c>
      <c r="M32" s="3" t="s">
        <v>23</v>
      </c>
      <c r="N32" s="2" t="s">
        <v>173</v>
      </c>
    </row>
    <row r="33" spans="1:14" ht="42" x14ac:dyDescent="0.2">
      <c r="A33" s="2">
        <v>94</v>
      </c>
      <c r="B33" s="2">
        <f t="shared" si="0"/>
        <v>93</v>
      </c>
      <c r="C33" s="2" t="s">
        <v>174</v>
      </c>
      <c r="D33" s="2" t="s">
        <v>14</v>
      </c>
      <c r="E33" s="2" t="s">
        <v>126</v>
      </c>
      <c r="F33" s="2" t="s">
        <v>16</v>
      </c>
      <c r="G33" s="2" t="s">
        <v>175</v>
      </c>
      <c r="H33" s="2" t="s">
        <v>176</v>
      </c>
      <c r="I33" s="2" t="s">
        <v>177</v>
      </c>
      <c r="J33" s="2" t="s">
        <v>20</v>
      </c>
      <c r="K33" s="2" t="s">
        <v>21</v>
      </c>
      <c r="L33" s="2" t="s">
        <v>29</v>
      </c>
      <c r="M33" s="3" t="s">
        <v>23</v>
      </c>
      <c r="N33" s="2" t="s">
        <v>178</v>
      </c>
    </row>
    <row r="34" spans="1:14" ht="56" x14ac:dyDescent="0.2">
      <c r="A34" s="2">
        <v>95</v>
      </c>
      <c r="B34" s="2">
        <f t="shared" si="0"/>
        <v>94</v>
      </c>
      <c r="C34" s="2" t="s">
        <v>179</v>
      </c>
      <c r="D34" s="2" t="s">
        <v>14</v>
      </c>
      <c r="E34" s="2" t="s">
        <v>51</v>
      </c>
      <c r="F34" s="2" t="s">
        <v>132</v>
      </c>
      <c r="G34" s="2" t="s">
        <v>180</v>
      </c>
      <c r="H34" s="2" t="s">
        <v>181</v>
      </c>
      <c r="I34" s="2" t="s">
        <v>182</v>
      </c>
      <c r="J34" s="2" t="s">
        <v>183</v>
      </c>
      <c r="K34" s="2" t="s">
        <v>184</v>
      </c>
      <c r="L34" s="2" t="s">
        <v>185</v>
      </c>
      <c r="M34" s="4" t="s">
        <v>46</v>
      </c>
      <c r="N34" s="2" t="s">
        <v>186</v>
      </c>
    </row>
    <row r="35" spans="1:14" ht="42" x14ac:dyDescent="0.2">
      <c r="A35" s="2">
        <v>96</v>
      </c>
      <c r="B35" s="2">
        <f t="shared" si="0"/>
        <v>95</v>
      </c>
      <c r="C35" s="2" t="s">
        <v>187</v>
      </c>
      <c r="D35" s="2" t="s">
        <v>14</v>
      </c>
      <c r="E35" s="2" t="s">
        <v>126</v>
      </c>
      <c r="F35" s="2" t="s">
        <v>188</v>
      </c>
      <c r="G35" s="2" t="s">
        <v>189</v>
      </c>
      <c r="H35" s="2" t="s">
        <v>41</v>
      </c>
      <c r="I35" s="2" t="s">
        <v>190</v>
      </c>
      <c r="J35" s="2" t="s">
        <v>191</v>
      </c>
      <c r="K35" s="2" t="s">
        <v>192</v>
      </c>
      <c r="L35" s="2" t="s">
        <v>45</v>
      </c>
      <c r="M35" s="4" t="s">
        <v>46</v>
      </c>
      <c r="N35" s="2" t="s">
        <v>193</v>
      </c>
    </row>
    <row r="36" spans="1:14" ht="56" x14ac:dyDescent="0.2">
      <c r="A36" s="2">
        <v>97</v>
      </c>
      <c r="B36" s="2">
        <f t="shared" si="0"/>
        <v>96</v>
      </c>
      <c r="C36" s="2" t="s">
        <v>194</v>
      </c>
      <c r="D36" s="2" t="s">
        <v>14</v>
      </c>
      <c r="E36" s="2" t="s">
        <v>32</v>
      </c>
      <c r="F36" s="2" t="s">
        <v>16</v>
      </c>
      <c r="G36" s="2" t="s">
        <v>195</v>
      </c>
      <c r="H36" s="2" t="s">
        <v>196</v>
      </c>
      <c r="I36" s="2" t="s">
        <v>197</v>
      </c>
      <c r="J36" s="2" t="s">
        <v>20</v>
      </c>
      <c r="K36" s="2" t="s">
        <v>21</v>
      </c>
      <c r="L36" s="2" t="s">
        <v>29</v>
      </c>
      <c r="M36" s="3" t="s">
        <v>23</v>
      </c>
      <c r="N36" s="2" t="s">
        <v>198</v>
      </c>
    </row>
    <row r="37" spans="1:14" ht="56" x14ac:dyDescent="0.2">
      <c r="A37" s="2">
        <v>98</v>
      </c>
      <c r="B37" s="2">
        <f t="shared" si="0"/>
        <v>97</v>
      </c>
      <c r="C37" s="2" t="s">
        <v>199</v>
      </c>
      <c r="D37" s="2" t="s">
        <v>14</v>
      </c>
      <c r="E37" s="2" t="s">
        <v>32</v>
      </c>
      <c r="F37" s="2" t="s">
        <v>16</v>
      </c>
      <c r="G37" s="2" t="s">
        <v>195</v>
      </c>
      <c r="H37" s="2" t="s">
        <v>200</v>
      </c>
      <c r="I37" s="2" t="s">
        <v>201</v>
      </c>
      <c r="J37" s="2" t="s">
        <v>20</v>
      </c>
      <c r="K37" s="2" t="s">
        <v>21</v>
      </c>
      <c r="L37" s="2" t="s">
        <v>29</v>
      </c>
      <c r="M37" s="3" t="s">
        <v>23</v>
      </c>
      <c r="N37" s="2" t="s">
        <v>202</v>
      </c>
    </row>
    <row r="38" spans="1:14" ht="42" x14ac:dyDescent="0.2">
      <c r="A38" s="2">
        <v>99</v>
      </c>
      <c r="B38" s="2">
        <f t="shared" si="0"/>
        <v>98</v>
      </c>
      <c r="C38" s="2" t="s">
        <v>203</v>
      </c>
      <c r="D38" s="2" t="s">
        <v>14</v>
      </c>
      <c r="E38" s="2" t="s">
        <v>32</v>
      </c>
      <c r="F38" s="2" t="s">
        <v>16</v>
      </c>
      <c r="G38" s="2" t="s">
        <v>195</v>
      </c>
      <c r="H38" s="2" t="s">
        <v>204</v>
      </c>
      <c r="I38" s="2" t="s">
        <v>205</v>
      </c>
      <c r="J38" s="2" t="s">
        <v>20</v>
      </c>
      <c r="K38" s="2" t="s">
        <v>21</v>
      </c>
      <c r="L38" s="2" t="s">
        <v>29</v>
      </c>
      <c r="M38" s="3" t="s">
        <v>23</v>
      </c>
      <c r="N38" s="2" t="s">
        <v>206</v>
      </c>
    </row>
    <row r="39" spans="1:14" ht="42" x14ac:dyDescent="0.2">
      <c r="A39" s="2">
        <v>100</v>
      </c>
      <c r="B39" s="2">
        <f t="shared" si="0"/>
        <v>99</v>
      </c>
      <c r="C39" s="2" t="s">
        <v>207</v>
      </c>
      <c r="D39" s="2" t="s">
        <v>14</v>
      </c>
      <c r="E39" s="2" t="s">
        <v>32</v>
      </c>
      <c r="F39" s="2" t="s">
        <v>16</v>
      </c>
      <c r="G39" s="2" t="s">
        <v>195</v>
      </c>
      <c r="H39" s="2" t="s">
        <v>208</v>
      </c>
      <c r="I39" s="2" t="s">
        <v>209</v>
      </c>
      <c r="J39" s="2" t="s">
        <v>20</v>
      </c>
      <c r="K39" s="2" t="s">
        <v>21</v>
      </c>
      <c r="L39" s="2" t="s">
        <v>29</v>
      </c>
      <c r="M39" s="3" t="s">
        <v>23</v>
      </c>
      <c r="N39" s="2" t="s">
        <v>210</v>
      </c>
    </row>
    <row r="40" spans="1:14" ht="28" x14ac:dyDescent="0.2">
      <c r="A40" s="2">
        <v>102</v>
      </c>
      <c r="B40" s="2">
        <f t="shared" si="0"/>
        <v>101</v>
      </c>
      <c r="C40" s="2" t="s">
        <v>211</v>
      </c>
      <c r="D40" s="2" t="s">
        <v>14</v>
      </c>
      <c r="E40" s="2" t="s">
        <v>126</v>
      </c>
      <c r="F40" s="2" t="s">
        <v>16</v>
      </c>
      <c r="G40" s="2" t="s">
        <v>212</v>
      </c>
      <c r="H40" s="2" t="s">
        <v>213</v>
      </c>
      <c r="I40" s="2" t="s">
        <v>214</v>
      </c>
      <c r="J40" s="2" t="s">
        <v>20</v>
      </c>
      <c r="K40" s="2" t="s">
        <v>21</v>
      </c>
      <c r="L40" s="2" t="s">
        <v>29</v>
      </c>
      <c r="M40" s="3" t="s">
        <v>23</v>
      </c>
      <c r="N40" s="2" t="s">
        <v>215</v>
      </c>
    </row>
    <row r="41" spans="1:14" ht="28" x14ac:dyDescent="0.2">
      <c r="A41" s="2">
        <v>103</v>
      </c>
      <c r="B41" s="2">
        <f t="shared" si="0"/>
        <v>102</v>
      </c>
      <c r="C41" s="2" t="s">
        <v>216</v>
      </c>
      <c r="D41" s="2" t="s">
        <v>14</v>
      </c>
      <c r="E41" s="2" t="s">
        <v>126</v>
      </c>
      <c r="F41" s="2" t="s">
        <v>16</v>
      </c>
      <c r="G41" s="2" t="s">
        <v>212</v>
      </c>
      <c r="H41" s="2" t="s">
        <v>217</v>
      </c>
      <c r="I41" s="2" t="s">
        <v>218</v>
      </c>
      <c r="J41" s="2" t="s">
        <v>20</v>
      </c>
      <c r="K41" s="2" t="s">
        <v>21</v>
      </c>
      <c r="L41" s="2" t="s">
        <v>29</v>
      </c>
      <c r="M41" s="3" t="s">
        <v>23</v>
      </c>
      <c r="N41" s="2" t="s">
        <v>219</v>
      </c>
    </row>
    <row r="42" spans="1:14" ht="28" x14ac:dyDescent="0.2">
      <c r="A42" s="2">
        <v>104</v>
      </c>
      <c r="B42" s="2">
        <f t="shared" si="0"/>
        <v>103</v>
      </c>
      <c r="C42" s="2" t="s">
        <v>220</v>
      </c>
      <c r="D42" s="2" t="s">
        <v>14</v>
      </c>
      <c r="E42" s="2" t="s">
        <v>126</v>
      </c>
      <c r="F42" s="2" t="s">
        <v>16</v>
      </c>
      <c r="G42" s="2" t="s">
        <v>212</v>
      </c>
      <c r="H42" s="2" t="s">
        <v>221</v>
      </c>
      <c r="I42" s="2" t="s">
        <v>222</v>
      </c>
      <c r="J42" s="2" t="s">
        <v>20</v>
      </c>
      <c r="K42" s="2" t="s">
        <v>21</v>
      </c>
      <c r="L42" s="2" t="s">
        <v>29</v>
      </c>
      <c r="M42" s="3" t="s">
        <v>23</v>
      </c>
      <c r="N42" s="2" t="s">
        <v>223</v>
      </c>
    </row>
    <row r="43" spans="1:14" ht="28" x14ac:dyDescent="0.2">
      <c r="A43" s="2">
        <v>105</v>
      </c>
      <c r="B43" s="2">
        <f t="shared" si="0"/>
        <v>104</v>
      </c>
      <c r="C43" s="2" t="s">
        <v>224</v>
      </c>
      <c r="D43" s="2" t="s">
        <v>14</v>
      </c>
      <c r="E43" s="2" t="s">
        <v>32</v>
      </c>
      <c r="F43" s="2" t="s">
        <v>16</v>
      </c>
      <c r="G43" s="2" t="s">
        <v>195</v>
      </c>
      <c r="H43" s="2" t="s">
        <v>225</v>
      </c>
      <c r="I43" s="2" t="s">
        <v>226</v>
      </c>
      <c r="J43" s="2" t="s">
        <v>20</v>
      </c>
      <c r="K43" s="2" t="s">
        <v>21</v>
      </c>
      <c r="L43" s="2" t="s">
        <v>29</v>
      </c>
      <c r="M43" s="3" t="s">
        <v>23</v>
      </c>
      <c r="N43" s="2" t="s">
        <v>227</v>
      </c>
    </row>
    <row r="44" spans="1:14" ht="42" x14ac:dyDescent="0.2">
      <c r="A44" s="2">
        <v>110</v>
      </c>
      <c r="B44" s="2">
        <f t="shared" si="0"/>
        <v>109</v>
      </c>
      <c r="C44" s="2" t="s">
        <v>228</v>
      </c>
      <c r="D44" s="2" t="s">
        <v>14</v>
      </c>
      <c r="E44" s="2" t="s">
        <v>32</v>
      </c>
      <c r="F44" s="2" t="s">
        <v>16</v>
      </c>
      <c r="G44" s="2" t="s">
        <v>229</v>
      </c>
      <c r="H44" s="2" t="s">
        <v>230</v>
      </c>
      <c r="I44" s="2" t="s">
        <v>231</v>
      </c>
      <c r="J44" s="2" t="s">
        <v>20</v>
      </c>
      <c r="K44" s="2" t="s">
        <v>21</v>
      </c>
      <c r="L44" s="2" t="s">
        <v>29</v>
      </c>
      <c r="M44" s="3" t="s">
        <v>23</v>
      </c>
      <c r="N44" s="2" t="s">
        <v>232</v>
      </c>
    </row>
    <row r="45" spans="1:14" ht="28" x14ac:dyDescent="0.2">
      <c r="A45" s="2">
        <v>111</v>
      </c>
      <c r="B45" s="2">
        <f t="shared" si="0"/>
        <v>110</v>
      </c>
      <c r="C45" s="2" t="s">
        <v>233</v>
      </c>
      <c r="D45" s="2" t="s">
        <v>14</v>
      </c>
      <c r="E45" s="2" t="s">
        <v>32</v>
      </c>
      <c r="F45" s="2" t="s">
        <v>16</v>
      </c>
      <c r="G45" s="2" t="s">
        <v>229</v>
      </c>
      <c r="H45" s="2" t="s">
        <v>234</v>
      </c>
      <c r="I45" s="2" t="s">
        <v>235</v>
      </c>
      <c r="J45" s="2" t="s">
        <v>20</v>
      </c>
      <c r="K45" s="2" t="s">
        <v>21</v>
      </c>
      <c r="L45" s="2" t="s">
        <v>29</v>
      </c>
      <c r="M45" s="3" t="s">
        <v>23</v>
      </c>
      <c r="N45" s="2" t="s">
        <v>236</v>
      </c>
    </row>
    <row r="46" spans="1:14" ht="28" x14ac:dyDescent="0.2">
      <c r="A46" s="2">
        <v>112</v>
      </c>
      <c r="B46" s="2">
        <f t="shared" si="0"/>
        <v>111</v>
      </c>
      <c r="C46" s="2" t="s">
        <v>237</v>
      </c>
      <c r="D46" s="2" t="s">
        <v>14</v>
      </c>
      <c r="E46" s="2" t="s">
        <v>32</v>
      </c>
      <c r="F46" s="2" t="s">
        <v>16</v>
      </c>
      <c r="G46" s="2" t="s">
        <v>229</v>
      </c>
      <c r="H46" s="2" t="s">
        <v>238</v>
      </c>
      <c r="I46" s="2" t="s">
        <v>239</v>
      </c>
      <c r="J46" s="2" t="s">
        <v>20</v>
      </c>
      <c r="K46" s="2" t="s">
        <v>21</v>
      </c>
      <c r="L46" s="2" t="s">
        <v>29</v>
      </c>
      <c r="M46" s="3" t="s">
        <v>23</v>
      </c>
      <c r="N46" s="2" t="s">
        <v>240</v>
      </c>
    </row>
    <row r="47" spans="1:14" ht="28" x14ac:dyDescent="0.2">
      <c r="A47" s="2">
        <v>113</v>
      </c>
      <c r="B47" s="2">
        <f t="shared" si="0"/>
        <v>112</v>
      </c>
      <c r="C47" s="2" t="s">
        <v>241</v>
      </c>
      <c r="D47" s="2" t="s">
        <v>14</v>
      </c>
      <c r="E47" s="2" t="s">
        <v>32</v>
      </c>
      <c r="F47" s="2" t="s">
        <v>16</v>
      </c>
      <c r="G47" s="2" t="s">
        <v>229</v>
      </c>
      <c r="H47" s="2" t="s">
        <v>242</v>
      </c>
      <c r="I47" s="2" t="s">
        <v>243</v>
      </c>
      <c r="J47" s="2" t="s">
        <v>20</v>
      </c>
      <c r="K47" s="2" t="s">
        <v>21</v>
      </c>
      <c r="L47" s="2" t="s">
        <v>29</v>
      </c>
      <c r="M47" s="3" t="s">
        <v>23</v>
      </c>
      <c r="N47" s="2" t="s">
        <v>244</v>
      </c>
    </row>
    <row r="48" spans="1:14" ht="28" x14ac:dyDescent="0.2">
      <c r="A48" s="2">
        <v>114</v>
      </c>
      <c r="B48" s="2">
        <f t="shared" si="0"/>
        <v>113</v>
      </c>
      <c r="C48" s="2" t="s">
        <v>245</v>
      </c>
      <c r="D48" s="2" t="s">
        <v>14</v>
      </c>
      <c r="E48" s="2" t="s">
        <v>32</v>
      </c>
      <c r="F48" s="2" t="s">
        <v>16</v>
      </c>
      <c r="G48" s="2" t="s">
        <v>229</v>
      </c>
      <c r="H48" s="2" t="s">
        <v>246</v>
      </c>
      <c r="I48" s="2" t="s">
        <v>247</v>
      </c>
      <c r="J48" s="2" t="s">
        <v>20</v>
      </c>
      <c r="K48" s="2" t="s">
        <v>21</v>
      </c>
      <c r="L48" s="2" t="s">
        <v>29</v>
      </c>
      <c r="M48" s="3" t="s">
        <v>23</v>
      </c>
      <c r="N48" s="2" t="s">
        <v>248</v>
      </c>
    </row>
    <row r="49" spans="1:14" ht="28" x14ac:dyDescent="0.2">
      <c r="A49" s="2">
        <v>115</v>
      </c>
      <c r="B49" s="2">
        <f t="shared" si="0"/>
        <v>114</v>
      </c>
      <c r="C49" s="2" t="s">
        <v>249</v>
      </c>
      <c r="D49" s="2" t="s">
        <v>14</v>
      </c>
      <c r="E49" s="2" t="s">
        <v>32</v>
      </c>
      <c r="F49" s="2" t="s">
        <v>16</v>
      </c>
      <c r="G49" s="2" t="s">
        <v>229</v>
      </c>
      <c r="H49" s="2" t="s">
        <v>250</v>
      </c>
      <c r="I49" s="2" t="s">
        <v>251</v>
      </c>
      <c r="J49" s="2" t="s">
        <v>20</v>
      </c>
      <c r="K49" s="2" t="s">
        <v>21</v>
      </c>
      <c r="L49" s="2" t="s">
        <v>29</v>
      </c>
      <c r="M49" s="3" t="s">
        <v>23</v>
      </c>
      <c r="N49" s="2" t="s">
        <v>252</v>
      </c>
    </row>
    <row r="50" spans="1:14" ht="56" x14ac:dyDescent="0.2">
      <c r="A50" s="2">
        <v>120</v>
      </c>
      <c r="B50" s="2">
        <f t="shared" si="0"/>
        <v>119</v>
      </c>
      <c r="C50" s="2" t="s">
        <v>253</v>
      </c>
      <c r="D50" s="2" t="s">
        <v>14</v>
      </c>
      <c r="E50" s="2" t="s">
        <v>169</v>
      </c>
      <c r="F50" s="2" t="s">
        <v>16</v>
      </c>
      <c r="G50" s="2" t="s">
        <v>254</v>
      </c>
      <c r="H50" s="2" t="s">
        <v>255</v>
      </c>
      <c r="I50" s="2" t="s">
        <v>256</v>
      </c>
      <c r="J50" s="2" t="s">
        <v>20</v>
      </c>
      <c r="K50" s="2" t="s">
        <v>21</v>
      </c>
      <c r="L50" s="2" t="s">
        <v>29</v>
      </c>
      <c r="M50" s="3" t="s">
        <v>23</v>
      </c>
      <c r="N50" s="2" t="s">
        <v>257</v>
      </c>
    </row>
    <row r="51" spans="1:14" ht="70" x14ac:dyDescent="0.2">
      <c r="A51" s="2">
        <v>122</v>
      </c>
      <c r="B51" s="2">
        <f t="shared" si="0"/>
        <v>121</v>
      </c>
      <c r="C51" s="2" t="s">
        <v>258</v>
      </c>
      <c r="D51" s="2" t="s">
        <v>14</v>
      </c>
      <c r="E51" s="2" t="s">
        <v>169</v>
      </c>
      <c r="F51" s="2" t="s">
        <v>16</v>
      </c>
      <c r="G51" s="2" t="s">
        <v>254</v>
      </c>
      <c r="H51" s="2" t="s">
        <v>259</v>
      </c>
      <c r="I51" s="2" t="s">
        <v>260</v>
      </c>
      <c r="J51" s="2" t="s">
        <v>20</v>
      </c>
      <c r="K51" s="2" t="s">
        <v>21</v>
      </c>
      <c r="L51" s="2" t="s">
        <v>29</v>
      </c>
      <c r="M51" s="3" t="s">
        <v>23</v>
      </c>
      <c r="N51" s="2" t="s">
        <v>261</v>
      </c>
    </row>
    <row r="52" spans="1:14" ht="42" x14ac:dyDescent="0.2">
      <c r="A52" s="2">
        <v>123</v>
      </c>
      <c r="B52" s="2">
        <f t="shared" si="0"/>
        <v>122</v>
      </c>
      <c r="C52" s="2" t="s">
        <v>262</v>
      </c>
      <c r="D52" s="4" t="s">
        <v>58</v>
      </c>
      <c r="E52" s="2" t="s">
        <v>126</v>
      </c>
      <c r="F52" s="2" t="s">
        <v>188</v>
      </c>
      <c r="G52" s="2" t="s">
        <v>189</v>
      </c>
      <c r="H52" s="2" t="s">
        <v>41</v>
      </c>
      <c r="I52" s="2" t="s">
        <v>263</v>
      </c>
      <c r="J52" s="2" t="s">
        <v>191</v>
      </c>
      <c r="K52" s="2" t="s">
        <v>192</v>
      </c>
      <c r="L52" s="2" t="s">
        <v>45</v>
      </c>
      <c r="M52" s="4" t="s">
        <v>46</v>
      </c>
      <c r="N52" s="2" t="s">
        <v>264</v>
      </c>
    </row>
    <row r="53" spans="1:14" ht="42" x14ac:dyDescent="0.2">
      <c r="A53" s="2">
        <v>124</v>
      </c>
      <c r="B53" s="2">
        <f t="shared" si="0"/>
        <v>123</v>
      </c>
      <c r="C53" s="2" t="s">
        <v>265</v>
      </c>
      <c r="D53" s="2" t="s">
        <v>14</v>
      </c>
      <c r="E53" s="2" t="s">
        <v>169</v>
      </c>
      <c r="F53" s="2" t="s">
        <v>16</v>
      </c>
      <c r="G53" s="2" t="s">
        <v>266</v>
      </c>
      <c r="H53" s="2" t="s">
        <v>267</v>
      </c>
      <c r="I53" s="2" t="s">
        <v>268</v>
      </c>
      <c r="J53" s="2" t="s">
        <v>20</v>
      </c>
      <c r="K53" s="2" t="s">
        <v>21</v>
      </c>
      <c r="L53" s="2" t="s">
        <v>29</v>
      </c>
      <c r="M53" s="3" t="s">
        <v>23</v>
      </c>
      <c r="N53" s="2" t="s">
        <v>269</v>
      </c>
    </row>
    <row r="54" spans="1:14" ht="28" x14ac:dyDescent="0.2">
      <c r="A54" s="2">
        <v>125</v>
      </c>
      <c r="B54" s="2">
        <f t="shared" si="0"/>
        <v>124</v>
      </c>
      <c r="C54" s="2" t="s">
        <v>270</v>
      </c>
      <c r="D54" s="2" t="s">
        <v>14</v>
      </c>
      <c r="E54" s="2" t="s">
        <v>169</v>
      </c>
      <c r="F54" s="2" t="s">
        <v>16</v>
      </c>
      <c r="G54" s="2" t="s">
        <v>266</v>
      </c>
      <c r="H54" s="2" t="s">
        <v>271</v>
      </c>
      <c r="I54" s="2" t="s">
        <v>268</v>
      </c>
      <c r="J54" s="2" t="s">
        <v>20</v>
      </c>
      <c r="K54" s="2" t="s">
        <v>21</v>
      </c>
      <c r="L54" s="2" t="s">
        <v>29</v>
      </c>
      <c r="M54" s="3" t="s">
        <v>23</v>
      </c>
      <c r="N54" s="2" t="s">
        <v>272</v>
      </c>
    </row>
    <row r="55" spans="1:14" ht="28" x14ac:dyDescent="0.2">
      <c r="A55" s="2">
        <v>126</v>
      </c>
      <c r="B55" s="2">
        <f t="shared" si="0"/>
        <v>125</v>
      </c>
      <c r="C55" s="2" t="s">
        <v>273</v>
      </c>
      <c r="D55" s="2" t="s">
        <v>14</v>
      </c>
      <c r="E55" s="2" t="s">
        <v>169</v>
      </c>
      <c r="F55" s="2" t="s">
        <v>16</v>
      </c>
      <c r="G55" s="2" t="s">
        <v>266</v>
      </c>
      <c r="H55" s="2" t="s">
        <v>274</v>
      </c>
      <c r="I55" s="2" t="s">
        <v>268</v>
      </c>
      <c r="J55" s="2" t="s">
        <v>20</v>
      </c>
      <c r="K55" s="2" t="s">
        <v>21</v>
      </c>
      <c r="L55" s="2" t="s">
        <v>29</v>
      </c>
      <c r="M55" s="3" t="s">
        <v>23</v>
      </c>
      <c r="N55" s="2" t="s">
        <v>275</v>
      </c>
    </row>
    <row r="56" spans="1:14" ht="42" x14ac:dyDescent="0.2">
      <c r="A56" s="2">
        <v>127</v>
      </c>
      <c r="B56" s="2">
        <f t="shared" si="0"/>
        <v>126</v>
      </c>
      <c r="C56" s="2" t="s">
        <v>276</v>
      </c>
      <c r="D56" s="2" t="s">
        <v>14</v>
      </c>
      <c r="E56" s="2" t="s">
        <v>32</v>
      </c>
      <c r="F56" s="2" t="s">
        <v>277</v>
      </c>
      <c r="G56" s="2" t="s">
        <v>278</v>
      </c>
      <c r="H56" s="2" t="s">
        <v>279</v>
      </c>
      <c r="I56" s="2" t="s">
        <v>280</v>
      </c>
      <c r="J56" s="2" t="s">
        <v>20</v>
      </c>
      <c r="K56" s="2" t="s">
        <v>21</v>
      </c>
      <c r="L56" s="2" t="s">
        <v>29</v>
      </c>
      <c r="M56" s="3" t="s">
        <v>23</v>
      </c>
      <c r="N56" s="2" t="s">
        <v>281</v>
      </c>
    </row>
    <row r="57" spans="1:14" ht="28" x14ac:dyDescent="0.2">
      <c r="A57" s="2">
        <v>159</v>
      </c>
      <c r="B57" s="2">
        <f t="shared" si="0"/>
        <v>158</v>
      </c>
      <c r="C57" s="2" t="s">
        <v>282</v>
      </c>
      <c r="D57" s="2" t="s">
        <v>283</v>
      </c>
      <c r="E57" s="2" t="s">
        <v>169</v>
      </c>
      <c r="F57" s="2" t="s">
        <v>16</v>
      </c>
      <c r="G57" s="2" t="s">
        <v>212</v>
      </c>
      <c r="H57" s="2" t="s">
        <v>284</v>
      </c>
      <c r="I57" s="2" t="s">
        <v>285</v>
      </c>
      <c r="J57" s="2" t="s">
        <v>20</v>
      </c>
      <c r="K57" s="2" t="s">
        <v>21</v>
      </c>
      <c r="L57" s="2" t="s">
        <v>29</v>
      </c>
      <c r="M57" s="3" t="s">
        <v>23</v>
      </c>
      <c r="N57" s="2" t="s">
        <v>286</v>
      </c>
    </row>
    <row r="58" spans="1:14" ht="42" x14ac:dyDescent="0.2">
      <c r="A58" s="2">
        <v>160</v>
      </c>
      <c r="B58" s="2">
        <f t="shared" si="0"/>
        <v>159</v>
      </c>
      <c r="C58" s="2" t="s">
        <v>287</v>
      </c>
      <c r="D58" s="2" t="s">
        <v>14</v>
      </c>
      <c r="E58" s="2" t="s">
        <v>15</v>
      </c>
      <c r="F58" s="2" t="s">
        <v>86</v>
      </c>
      <c r="G58" s="2" t="s">
        <v>87</v>
      </c>
      <c r="H58" s="2" t="s">
        <v>41</v>
      </c>
      <c r="I58" s="2" t="s">
        <v>288</v>
      </c>
      <c r="J58" s="2" t="s">
        <v>289</v>
      </c>
      <c r="K58" s="2" t="s">
        <v>90</v>
      </c>
      <c r="L58" s="2" t="s">
        <v>91</v>
      </c>
      <c r="M58" s="4" t="s">
        <v>46</v>
      </c>
      <c r="N58" s="2" t="s">
        <v>290</v>
      </c>
    </row>
    <row r="59" spans="1:14" ht="42" x14ac:dyDescent="0.2">
      <c r="A59" s="2">
        <v>161</v>
      </c>
      <c r="B59" s="2">
        <f t="shared" si="0"/>
        <v>160</v>
      </c>
      <c r="C59" s="2" t="s">
        <v>291</v>
      </c>
      <c r="D59" s="2" t="s">
        <v>14</v>
      </c>
      <c r="E59" s="2" t="s">
        <v>95</v>
      </c>
      <c r="F59" s="2" t="s">
        <v>96</v>
      </c>
      <c r="G59" s="2" t="s">
        <v>87</v>
      </c>
      <c r="H59" s="2" t="s">
        <v>41</v>
      </c>
      <c r="I59" s="2" t="s">
        <v>97</v>
      </c>
      <c r="J59" s="2" t="s">
        <v>98</v>
      </c>
      <c r="K59" s="2" t="s">
        <v>99</v>
      </c>
      <c r="L59" s="2" t="s">
        <v>91</v>
      </c>
      <c r="M59" s="3" t="s">
        <v>23</v>
      </c>
      <c r="N59" s="2" t="s">
        <v>292</v>
      </c>
    </row>
    <row r="60" spans="1:14" ht="42" x14ac:dyDescent="0.2">
      <c r="A60" s="2">
        <v>163</v>
      </c>
      <c r="B60" s="2">
        <f t="shared" si="0"/>
        <v>162</v>
      </c>
      <c r="C60" s="2" t="s">
        <v>293</v>
      </c>
      <c r="D60" s="2" t="s">
        <v>14</v>
      </c>
      <c r="E60" s="2" t="s">
        <v>32</v>
      </c>
      <c r="F60" s="2" t="s">
        <v>16</v>
      </c>
      <c r="G60" s="2" t="s">
        <v>294</v>
      </c>
      <c r="H60" s="2" t="s">
        <v>295</v>
      </c>
      <c r="I60" s="2" t="s">
        <v>296</v>
      </c>
      <c r="J60" s="2" t="s">
        <v>20</v>
      </c>
      <c r="K60" s="2" t="s">
        <v>21</v>
      </c>
      <c r="L60" s="2" t="s">
        <v>29</v>
      </c>
      <c r="M60" s="3" t="s">
        <v>23</v>
      </c>
      <c r="N60" s="2" t="s">
        <v>297</v>
      </c>
    </row>
    <row r="61" spans="1:14" ht="42" x14ac:dyDescent="0.2">
      <c r="A61" s="2">
        <v>169</v>
      </c>
      <c r="B61" s="2">
        <f t="shared" si="0"/>
        <v>168</v>
      </c>
      <c r="C61" s="2" t="s">
        <v>298</v>
      </c>
      <c r="D61" s="2" t="s">
        <v>14</v>
      </c>
      <c r="E61" s="2" t="s">
        <v>15</v>
      </c>
      <c r="F61" s="2" t="s">
        <v>299</v>
      </c>
      <c r="G61" s="2" t="s">
        <v>300</v>
      </c>
      <c r="H61" s="2" t="s">
        <v>41</v>
      </c>
      <c r="I61" s="2" t="s">
        <v>301</v>
      </c>
      <c r="J61" s="2" t="s">
        <v>302</v>
      </c>
      <c r="K61" s="2" t="s">
        <v>303</v>
      </c>
      <c r="L61" s="2" t="s">
        <v>45</v>
      </c>
      <c r="M61" s="4" t="s">
        <v>46</v>
      </c>
      <c r="N61" s="2" t="s">
        <v>304</v>
      </c>
    </row>
    <row r="62" spans="1:14" ht="28" x14ac:dyDescent="0.2">
      <c r="A62" s="2">
        <v>182</v>
      </c>
      <c r="B62" s="2">
        <f t="shared" si="0"/>
        <v>181</v>
      </c>
      <c r="C62" s="2" t="s">
        <v>305</v>
      </c>
      <c r="D62" s="2" t="s">
        <v>14</v>
      </c>
      <c r="E62" s="2" t="s">
        <v>32</v>
      </c>
      <c r="F62" s="2" t="s">
        <v>277</v>
      </c>
      <c r="G62" s="2" t="s">
        <v>306</v>
      </c>
      <c r="H62" s="2" t="s">
        <v>307</v>
      </c>
      <c r="I62" s="2" t="s">
        <v>308</v>
      </c>
      <c r="J62" s="2" t="s">
        <v>20</v>
      </c>
      <c r="K62" s="2" t="s">
        <v>21</v>
      </c>
      <c r="L62" s="2" t="s">
        <v>29</v>
      </c>
      <c r="M62" s="3" t="s">
        <v>23</v>
      </c>
      <c r="N62" s="2" t="s">
        <v>309</v>
      </c>
    </row>
    <row r="63" spans="1:14" ht="42" x14ac:dyDescent="0.2">
      <c r="A63" s="2">
        <v>183</v>
      </c>
      <c r="B63" s="2">
        <f t="shared" si="0"/>
        <v>182</v>
      </c>
      <c r="C63" s="2" t="s">
        <v>310</v>
      </c>
      <c r="D63" s="2" t="s">
        <v>14</v>
      </c>
      <c r="E63" s="2" t="s">
        <v>169</v>
      </c>
      <c r="F63" s="2" t="s">
        <v>16</v>
      </c>
      <c r="G63" s="2" t="s">
        <v>311</v>
      </c>
      <c r="H63" s="2" t="s">
        <v>312</v>
      </c>
      <c r="I63" s="2" t="s">
        <v>313</v>
      </c>
      <c r="J63" s="2" t="s">
        <v>20</v>
      </c>
      <c r="K63" s="2" t="s">
        <v>21</v>
      </c>
      <c r="L63" s="2" t="s">
        <v>29</v>
      </c>
      <c r="M63" s="3" t="s">
        <v>23</v>
      </c>
      <c r="N63" s="2" t="s">
        <v>314</v>
      </c>
    </row>
    <row r="64" spans="1:14" ht="42" x14ac:dyDescent="0.2">
      <c r="A64" s="2">
        <v>184</v>
      </c>
      <c r="B64" s="2">
        <f t="shared" si="0"/>
        <v>183</v>
      </c>
      <c r="C64" s="2" t="s">
        <v>315</v>
      </c>
      <c r="D64" s="2" t="s">
        <v>14</v>
      </c>
      <c r="E64" s="2" t="s">
        <v>95</v>
      </c>
      <c r="F64" s="2" t="s">
        <v>96</v>
      </c>
      <c r="G64" s="2" t="s">
        <v>87</v>
      </c>
      <c r="H64" s="2" t="s">
        <v>41</v>
      </c>
      <c r="I64" s="2" t="s">
        <v>97</v>
      </c>
      <c r="J64" s="2" t="s">
        <v>98</v>
      </c>
      <c r="K64" s="2" t="s">
        <v>99</v>
      </c>
      <c r="L64" s="2" t="s">
        <v>91</v>
      </c>
      <c r="M64" s="3" t="s">
        <v>23</v>
      </c>
      <c r="N64" s="2" t="s">
        <v>316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8.83203125" defaultRowHeight="15" x14ac:dyDescent="0.2"/>
  <cols>
    <col min="1" max="1" width="55" customWidth="1"/>
    <col min="2" max="2" width="70" customWidth="1"/>
  </cols>
  <sheetData>
    <row r="1" spans="1:2" ht="18" x14ac:dyDescent="0.2">
      <c r="A1" s="6" t="s">
        <v>317</v>
      </c>
    </row>
    <row r="3" spans="1:2" x14ac:dyDescent="0.2">
      <c r="A3" s="7"/>
      <c r="B3" s="7"/>
    </row>
    <row r="4" spans="1:2" x14ac:dyDescent="0.2">
      <c r="A4" s="7" t="s">
        <v>318</v>
      </c>
      <c r="B4" s="7">
        <v>63</v>
      </c>
    </row>
    <row r="5" spans="1:2" x14ac:dyDescent="0.2">
      <c r="A5" s="7" t="s">
        <v>319</v>
      </c>
      <c r="B5" s="7">
        <v>40</v>
      </c>
    </row>
    <row r="6" spans="1:2" x14ac:dyDescent="0.2">
      <c r="A6" s="7" t="s">
        <v>320</v>
      </c>
      <c r="B6" s="7">
        <v>23</v>
      </c>
    </row>
    <row r="7" spans="1:2" x14ac:dyDescent="0.2">
      <c r="A7" s="7"/>
      <c r="B7" s="7"/>
    </row>
    <row r="8" spans="1:2" x14ac:dyDescent="0.2">
      <c r="A8" s="8" t="s">
        <v>321</v>
      </c>
      <c r="B8" s="7"/>
    </row>
    <row r="9" spans="1:2" x14ac:dyDescent="0.2">
      <c r="A9" s="7" t="s">
        <v>322</v>
      </c>
      <c r="B9" s="7">
        <v>44</v>
      </c>
    </row>
    <row r="10" spans="1:2" x14ac:dyDescent="0.2">
      <c r="A10" s="7" t="s">
        <v>323</v>
      </c>
      <c r="B10" s="7">
        <v>10</v>
      </c>
    </row>
    <row r="11" spans="1:2" x14ac:dyDescent="0.2">
      <c r="A11" s="7" t="s">
        <v>324</v>
      </c>
      <c r="B11" s="7">
        <v>9</v>
      </c>
    </row>
    <row r="12" spans="1:2" x14ac:dyDescent="0.2">
      <c r="A12" s="7"/>
      <c r="B12" s="7"/>
    </row>
    <row r="13" spans="1:2" x14ac:dyDescent="0.2">
      <c r="A13" s="8" t="s">
        <v>325</v>
      </c>
      <c r="B13" s="7"/>
    </row>
    <row r="14" spans="1:2" x14ac:dyDescent="0.2">
      <c r="A14" s="7" t="s">
        <v>326</v>
      </c>
      <c r="B14" s="7" t="s">
        <v>327</v>
      </c>
    </row>
    <row r="15" spans="1:2" x14ac:dyDescent="0.2">
      <c r="A15" s="7" t="s">
        <v>328</v>
      </c>
      <c r="B15" s="7" t="s">
        <v>329</v>
      </c>
    </row>
    <row r="16" spans="1:2" x14ac:dyDescent="0.2">
      <c r="A16" s="7" t="s">
        <v>330</v>
      </c>
      <c r="B16" s="7" t="s">
        <v>331</v>
      </c>
    </row>
    <row r="17" spans="1:2" x14ac:dyDescent="0.2">
      <c r="A17" s="7" t="s">
        <v>332</v>
      </c>
      <c r="B17" s="7" t="s">
        <v>333</v>
      </c>
    </row>
    <row r="18" spans="1:2" x14ac:dyDescent="0.2">
      <c r="A18" s="7" t="s">
        <v>334</v>
      </c>
      <c r="B18" s="7" t="s">
        <v>335</v>
      </c>
    </row>
    <row r="19" spans="1:2" x14ac:dyDescent="0.2">
      <c r="A19" s="7"/>
      <c r="B19" s="7"/>
    </row>
    <row r="20" spans="1:2" x14ac:dyDescent="0.2">
      <c r="A20" s="8" t="s">
        <v>336</v>
      </c>
      <c r="B20" s="7"/>
    </row>
    <row r="21" spans="1:2" x14ac:dyDescent="0.2">
      <c r="A21" s="7" t="s">
        <v>337</v>
      </c>
      <c r="B21" s="7" t="s">
        <v>338</v>
      </c>
    </row>
    <row r="22" spans="1:2" x14ac:dyDescent="0.2">
      <c r="A22" s="7" t="s">
        <v>339</v>
      </c>
      <c r="B22" s="7" t="s">
        <v>340</v>
      </c>
    </row>
    <row r="23" spans="1:2" x14ac:dyDescent="0.2">
      <c r="A23" s="7" t="s">
        <v>341</v>
      </c>
      <c r="B23" s="7" t="s">
        <v>342</v>
      </c>
    </row>
    <row r="24" spans="1:2" x14ac:dyDescent="0.2">
      <c r="A24" s="7" t="s">
        <v>343</v>
      </c>
      <c r="B24" s="7" t="s">
        <v>344</v>
      </c>
    </row>
    <row r="25" spans="1:2" x14ac:dyDescent="0.2">
      <c r="A25" s="7" t="s">
        <v>345</v>
      </c>
      <c r="B25" s="7" t="s">
        <v>346</v>
      </c>
    </row>
    <row r="26" spans="1:2" x14ac:dyDescent="0.2">
      <c r="A26" s="7" t="s">
        <v>347</v>
      </c>
      <c r="B26" s="7" t="s">
        <v>348</v>
      </c>
    </row>
    <row r="28" spans="1:2" x14ac:dyDescent="0.2">
      <c r="A28" s="9" t="s">
        <v>349</v>
      </c>
    </row>
    <row r="29" spans="1:2" x14ac:dyDescent="0.2">
      <c r="A29" s="7" t="s">
        <v>350</v>
      </c>
    </row>
    <row r="30" spans="1:2" x14ac:dyDescent="0.2">
      <c r="A30" s="7" t="s">
        <v>351</v>
      </c>
    </row>
    <row r="31" spans="1:2" x14ac:dyDescent="0.2">
      <c r="A31" s="7" t="s">
        <v>352</v>
      </c>
    </row>
    <row r="32" spans="1:2" x14ac:dyDescent="0.2">
      <c r="A32" s="10" t="s">
        <v>353</v>
      </c>
    </row>
    <row r="33" spans="1:1" x14ac:dyDescent="0.2">
      <c r="A33" s="7" t="s">
        <v>354</v>
      </c>
    </row>
    <row r="35" spans="1:1" x14ac:dyDescent="0.2">
      <c r="A35" s="11" t="s">
        <v>355</v>
      </c>
    </row>
    <row r="36" spans="1:1" x14ac:dyDescent="0.2">
      <c r="A36" s="7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 Data Sources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Elszasz</cp:lastModifiedBy>
  <dcterms:created xsi:type="dcterms:W3CDTF">2026-02-26T13:18:46Z</dcterms:created>
  <dcterms:modified xsi:type="dcterms:W3CDTF">2026-02-27T16:37:47Z</dcterms:modified>
</cp:coreProperties>
</file>